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3a7aeec2669cc/Arizona State University - Master Degree Program/Course Work/Statistical Machine Learning - STP550/Final Project 2.0/"/>
    </mc:Choice>
  </mc:AlternateContent>
  <xr:revisionPtr revIDLastSave="1920" documentId="8_{C04DFFCA-533F-422B-94DF-DCBBBA8F3453}" xr6:coauthVersionLast="47" xr6:coauthVersionMax="47" xr10:uidLastSave="{44D6BFC4-2CD8-4521-A13E-E52B6F9A8978}"/>
  <bookViews>
    <workbookView xWindow="-110" yWindow="-110" windowWidth="51420" windowHeight="13900" activeTab="2" xr2:uid="{4BFB0C32-8F9E-4FAD-8AC8-696A9454BFD0}"/>
  </bookViews>
  <sheets>
    <sheet name="draft_and_player_data" sheetId="4" r:id="rId1"/>
    <sheet name="fantasy_targets" sheetId="5" r:id="rId2"/>
    <sheet name="master_datase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5" i="5" l="1"/>
  <c r="A164" i="5"/>
  <c r="F165" i="6" a="1"/>
  <c r="F165" i="6" s="1"/>
  <c r="A165" i="6"/>
  <c r="F164" i="6" a="1"/>
  <c r="F164" i="6" s="1"/>
  <c r="A164" i="6"/>
  <c r="F163" i="6" a="1"/>
  <c r="F163" i="6" s="1"/>
  <c r="A163" i="6"/>
  <c r="F162" i="6" a="1"/>
  <c r="F162" i="6" s="1"/>
  <c r="A162" i="6"/>
  <c r="F161" i="6" a="1"/>
  <c r="F161" i="6" s="1"/>
  <c r="A161" i="6"/>
  <c r="F160" i="6" a="1"/>
  <c r="F160" i="6" s="1"/>
  <c r="A160" i="6"/>
  <c r="F159" i="6" a="1"/>
  <c r="F159" i="6" s="1"/>
  <c r="A159" i="6"/>
  <c r="F158" i="6" a="1"/>
  <c r="F158" i="6" s="1"/>
  <c r="A158" i="6"/>
  <c r="F157" i="6" a="1"/>
  <c r="F157" i="6" s="1"/>
  <c r="A157" i="6"/>
  <c r="F156" i="6" a="1"/>
  <c r="F156" i="6" s="1"/>
  <c r="A156" i="6"/>
  <c r="F155" i="6" a="1"/>
  <c r="F155" i="6" s="1"/>
  <c r="A155" i="6"/>
  <c r="F154" i="6" a="1"/>
  <c r="F154" i="6" s="1"/>
  <c r="A154" i="6"/>
  <c r="F153" i="6" a="1"/>
  <c r="F153" i="6" s="1"/>
  <c r="A153" i="6"/>
  <c r="F152" i="6" a="1"/>
  <c r="F152" i="6" s="1"/>
  <c r="A152" i="6"/>
  <c r="F151" i="6" a="1"/>
  <c r="F151" i="6" s="1"/>
  <c r="A151" i="6"/>
  <c r="F150" i="6" a="1"/>
  <c r="F150" i="6" s="1"/>
  <c r="A150" i="6"/>
  <c r="F149" i="6" a="1"/>
  <c r="F149" i="6" s="1"/>
  <c r="A149" i="6"/>
  <c r="F148" i="6" a="1"/>
  <c r="F148" i="6" s="1"/>
  <c r="A148" i="6"/>
  <c r="F147" i="6" a="1"/>
  <c r="F147" i="6" s="1"/>
  <c r="A147" i="6"/>
  <c r="F146" i="6" a="1"/>
  <c r="F146" i="6" s="1"/>
  <c r="A146" i="6"/>
  <c r="F145" i="6"/>
  <c r="F145" i="6" a="1"/>
  <c r="A145" i="6"/>
  <c r="F144" i="6" a="1"/>
  <c r="F144" i="6" s="1"/>
  <c r="A144" i="6"/>
  <c r="F143" i="6" a="1"/>
  <c r="F143" i="6" s="1"/>
  <c r="A143" i="6"/>
  <c r="F142" i="6" a="1"/>
  <c r="F142" i="6" s="1"/>
  <c r="A142" i="6"/>
  <c r="F141" i="6" a="1"/>
  <c r="F141" i="6" s="1"/>
  <c r="A141" i="6"/>
  <c r="F140" i="6" a="1"/>
  <c r="F140" i="6" s="1"/>
  <c r="A140" i="6"/>
  <c r="F139" i="6" a="1"/>
  <c r="F139" i="6" s="1"/>
  <c r="A139" i="6"/>
  <c r="F138" i="6" a="1"/>
  <c r="F138" i="6" s="1"/>
  <c r="A138" i="6"/>
  <c r="F137" i="6"/>
  <c r="F137" i="6" a="1"/>
  <c r="A137" i="6"/>
  <c r="F136" i="6" a="1"/>
  <c r="F136" i="6" s="1"/>
  <c r="A136" i="6"/>
  <c r="F135" i="6" a="1"/>
  <c r="F135" i="6" s="1"/>
  <c r="A135" i="6"/>
  <c r="F134" i="6" a="1"/>
  <c r="F134" i="6" s="1"/>
  <c r="A134" i="6"/>
  <c r="F133" i="6" a="1"/>
  <c r="F133" i="6" s="1"/>
  <c r="A133" i="6"/>
  <c r="F132" i="6" a="1"/>
  <c r="F132" i="6" s="1"/>
  <c r="A132" i="6"/>
  <c r="F131" i="6" a="1"/>
  <c r="F131" i="6" s="1"/>
  <c r="A131" i="6"/>
  <c r="F130" i="6" a="1"/>
  <c r="F130" i="6" s="1"/>
  <c r="A130" i="6"/>
  <c r="F129" i="6" a="1"/>
  <c r="F129" i="6" s="1"/>
  <c r="A129" i="6"/>
  <c r="F128" i="6" a="1"/>
  <c r="F128" i="6" s="1"/>
  <c r="A128" i="6"/>
  <c r="F127" i="6" a="1"/>
  <c r="F127" i="6" s="1"/>
  <c r="A127" i="6"/>
  <c r="F126" i="6" a="1"/>
  <c r="F126" i="6" s="1"/>
  <c r="A126" i="6"/>
  <c r="F125" i="6" a="1"/>
  <c r="F125" i="6" s="1"/>
  <c r="A125" i="6"/>
  <c r="F124" i="6" a="1"/>
  <c r="F124" i="6" s="1"/>
  <c r="A124" i="6"/>
  <c r="F123" i="6" a="1"/>
  <c r="F123" i="6" s="1"/>
  <c r="A123" i="6"/>
  <c r="F122" i="6" a="1"/>
  <c r="F122" i="6" s="1"/>
  <c r="A122" i="6"/>
  <c r="F121" i="6" a="1"/>
  <c r="F121" i="6" s="1"/>
  <c r="A121" i="6"/>
  <c r="F120" i="6" a="1"/>
  <c r="F120" i="6" s="1"/>
  <c r="A120" i="6"/>
  <c r="F119" i="6" a="1"/>
  <c r="F119" i="6" s="1"/>
  <c r="A119" i="6"/>
  <c r="F118" i="6" a="1"/>
  <c r="F118" i="6" s="1"/>
  <c r="A118" i="6"/>
  <c r="F117" i="6" a="1"/>
  <c r="F117" i="6" s="1"/>
  <c r="A117" i="6"/>
  <c r="F116" i="6" a="1"/>
  <c r="F116" i="6" s="1"/>
  <c r="A116" i="6"/>
  <c r="F115" i="6" a="1"/>
  <c r="F115" i="6" s="1"/>
  <c r="A115" i="6"/>
  <c r="F114" i="6" a="1"/>
  <c r="F114" i="6" s="1"/>
  <c r="A114" i="6"/>
  <c r="F113" i="6" a="1"/>
  <c r="F113" i="6" s="1"/>
  <c r="A113" i="6"/>
  <c r="F112" i="6" a="1"/>
  <c r="F112" i="6" s="1"/>
  <c r="A112" i="6"/>
  <c r="F111" i="6" a="1"/>
  <c r="F111" i="6" s="1"/>
  <c r="A111" i="6"/>
  <c r="F110" i="6" a="1"/>
  <c r="F110" i="6" s="1"/>
  <c r="A110" i="6"/>
  <c r="F109" i="6" a="1"/>
  <c r="F109" i="6" s="1"/>
  <c r="A109" i="6"/>
  <c r="F108" i="6" a="1"/>
  <c r="F108" i="6" s="1"/>
  <c r="A108" i="6"/>
  <c r="F107" i="6" a="1"/>
  <c r="F107" i="6" s="1"/>
  <c r="A107" i="6"/>
  <c r="F106" i="6" a="1"/>
  <c r="F106" i="6" s="1"/>
  <c r="A106" i="6"/>
  <c r="F105" i="6" a="1"/>
  <c r="F105" i="6" s="1"/>
  <c r="A105" i="6"/>
  <c r="F104" i="6" a="1"/>
  <c r="F104" i="6" s="1"/>
  <c r="A104" i="6"/>
  <c r="F103" i="6" a="1"/>
  <c r="F103" i="6" s="1"/>
  <c r="A103" i="6"/>
  <c r="F102" i="6" a="1"/>
  <c r="F102" i="6" s="1"/>
  <c r="A102" i="6"/>
  <c r="F101" i="6" a="1"/>
  <c r="F101" i="6" s="1"/>
  <c r="A101" i="6"/>
  <c r="F100" i="6" a="1"/>
  <c r="F100" i="6" s="1"/>
  <c r="A100" i="6"/>
  <c r="F99" i="6" a="1"/>
  <c r="F99" i="6" s="1"/>
  <c r="A99" i="6"/>
  <c r="F98" i="6" a="1"/>
  <c r="F98" i="6" s="1"/>
  <c r="A98" i="6"/>
  <c r="F97" i="6" a="1"/>
  <c r="F97" i="6" s="1"/>
  <c r="A97" i="6"/>
  <c r="F96" i="6" a="1"/>
  <c r="F96" i="6" s="1"/>
  <c r="A96" i="6"/>
  <c r="F95" i="6" a="1"/>
  <c r="F95" i="6" s="1"/>
  <c r="A95" i="6"/>
  <c r="F94" i="6" a="1"/>
  <c r="F94" i="6" s="1"/>
  <c r="A94" i="6"/>
  <c r="F93" i="6" a="1"/>
  <c r="F93" i="6" s="1"/>
  <c r="A93" i="6"/>
  <c r="F92" i="6" a="1"/>
  <c r="F92" i="6" s="1"/>
  <c r="A92" i="6"/>
  <c r="F91" i="6" a="1"/>
  <c r="F91" i="6" s="1"/>
  <c r="A91" i="6"/>
  <c r="F90" i="6" a="1"/>
  <c r="F90" i="6" s="1"/>
  <c r="A90" i="6"/>
  <c r="F89" i="6" a="1"/>
  <c r="F89" i="6" s="1"/>
  <c r="A89" i="6"/>
  <c r="F88" i="6" a="1"/>
  <c r="F88" i="6" s="1"/>
  <c r="A88" i="6"/>
  <c r="F87" i="6" a="1"/>
  <c r="F87" i="6" s="1"/>
  <c r="A87" i="6"/>
  <c r="F86" i="6" a="1"/>
  <c r="F86" i="6" s="1"/>
  <c r="A86" i="6"/>
  <c r="F85" i="6" a="1"/>
  <c r="F85" i="6" s="1"/>
  <c r="A85" i="6"/>
  <c r="F84" i="6" a="1"/>
  <c r="F84" i="6" s="1"/>
  <c r="A84" i="6"/>
  <c r="F83" i="6" a="1"/>
  <c r="F83" i="6" s="1"/>
  <c r="A83" i="6"/>
  <c r="F82" i="6" a="1"/>
  <c r="F82" i="6" s="1"/>
  <c r="A82" i="6"/>
  <c r="F81" i="6" a="1"/>
  <c r="F81" i="6" s="1"/>
  <c r="A81" i="6"/>
  <c r="F80" i="6" a="1"/>
  <c r="F80" i="6" s="1"/>
  <c r="A80" i="6"/>
  <c r="F79" i="6" a="1"/>
  <c r="F79" i="6" s="1"/>
  <c r="A79" i="6"/>
  <c r="F78" i="6" a="1"/>
  <c r="F78" i="6" s="1"/>
  <c r="A78" i="6"/>
  <c r="F77" i="6" a="1"/>
  <c r="F77" i="6" s="1"/>
  <c r="A77" i="6"/>
  <c r="F76" i="6" a="1"/>
  <c r="F76" i="6" s="1"/>
  <c r="A76" i="6"/>
  <c r="F75" i="6" a="1"/>
  <c r="F75" i="6" s="1"/>
  <c r="A75" i="6"/>
  <c r="F74" i="6" a="1"/>
  <c r="F74" i="6" s="1"/>
  <c r="A74" i="6"/>
  <c r="F73" i="6" a="1"/>
  <c r="F73" i="6" s="1"/>
  <c r="A73" i="6"/>
  <c r="F72" i="6" a="1"/>
  <c r="F72" i="6" s="1"/>
  <c r="A72" i="6"/>
  <c r="F71" i="6" a="1"/>
  <c r="F71" i="6" s="1"/>
  <c r="A71" i="6"/>
  <c r="F70" i="6" a="1"/>
  <c r="F70" i="6" s="1"/>
  <c r="A70" i="6"/>
  <c r="F69" i="6" a="1"/>
  <c r="F69" i="6" s="1"/>
  <c r="A69" i="6"/>
  <c r="F68" i="6" a="1"/>
  <c r="F68" i="6" s="1"/>
  <c r="A68" i="6"/>
  <c r="F67" i="6" a="1"/>
  <c r="F67" i="6" s="1"/>
  <c r="A67" i="6"/>
  <c r="F66" i="6" a="1"/>
  <c r="F66" i="6" s="1"/>
  <c r="A66" i="6"/>
  <c r="F65" i="6" a="1"/>
  <c r="F65" i="6" s="1"/>
  <c r="A65" i="6"/>
  <c r="F64" i="6" a="1"/>
  <c r="F64" i="6" s="1"/>
  <c r="A64" i="6"/>
  <c r="F63" i="6" a="1"/>
  <c r="F63" i="6" s="1"/>
  <c r="A63" i="6"/>
  <c r="F62" i="6" a="1"/>
  <c r="F62" i="6" s="1"/>
  <c r="A62" i="6"/>
  <c r="F61" i="6" a="1"/>
  <c r="F61" i="6" s="1"/>
  <c r="A61" i="6"/>
  <c r="F60" i="6" a="1"/>
  <c r="F60" i="6" s="1"/>
  <c r="A60" i="6"/>
  <c r="F59" i="6" a="1"/>
  <c r="F59" i="6" s="1"/>
  <c r="A59" i="6"/>
  <c r="F58" i="6" a="1"/>
  <c r="F58" i="6" s="1"/>
  <c r="A58" i="6"/>
  <c r="F57" i="6" a="1"/>
  <c r="F57" i="6" s="1"/>
  <c r="A57" i="6"/>
  <c r="F56" i="6" a="1"/>
  <c r="F56" i="6" s="1"/>
  <c r="A56" i="6"/>
  <c r="F55" i="6" a="1"/>
  <c r="F55" i="6" s="1"/>
  <c r="A55" i="6"/>
  <c r="F54" i="6" a="1"/>
  <c r="F54" i="6" s="1"/>
  <c r="A54" i="6"/>
  <c r="F53" i="6" a="1"/>
  <c r="F53" i="6" s="1"/>
  <c r="A53" i="6"/>
  <c r="F52" i="6" a="1"/>
  <c r="F52" i="6" s="1"/>
  <c r="A52" i="6"/>
  <c r="F51" i="6" a="1"/>
  <c r="F51" i="6" s="1"/>
  <c r="A51" i="6"/>
  <c r="F50" i="6" a="1"/>
  <c r="F50" i="6" s="1"/>
  <c r="A50" i="6"/>
  <c r="F49" i="6" a="1"/>
  <c r="F49" i="6" s="1"/>
  <c r="A49" i="6"/>
  <c r="F48" i="6" a="1"/>
  <c r="F48" i="6" s="1"/>
  <c r="A48" i="6"/>
  <c r="F47" i="6" a="1"/>
  <c r="F47" i="6" s="1"/>
  <c r="A47" i="6"/>
  <c r="F46" i="6" a="1"/>
  <c r="F46" i="6" s="1"/>
  <c r="A46" i="6"/>
  <c r="F45" i="6" a="1"/>
  <c r="F45" i="6" s="1"/>
  <c r="A45" i="6"/>
  <c r="F44" i="6" a="1"/>
  <c r="F44" i="6" s="1"/>
  <c r="A44" i="6"/>
  <c r="F43" i="6" a="1"/>
  <c r="F43" i="6" s="1"/>
  <c r="A43" i="6"/>
  <c r="F42" i="6" a="1"/>
  <c r="F42" i="6" s="1"/>
  <c r="A42" i="6"/>
  <c r="F41" i="6" a="1"/>
  <c r="F41" i="6" s="1"/>
  <c r="A41" i="6"/>
  <c r="F40" i="6" a="1"/>
  <c r="F40" i="6" s="1"/>
  <c r="A40" i="6"/>
  <c r="F39" i="6" a="1"/>
  <c r="F39" i="6" s="1"/>
  <c r="A39" i="6"/>
  <c r="F38" i="6" a="1"/>
  <c r="F38" i="6" s="1"/>
  <c r="A38" i="6"/>
  <c r="F37" i="6" a="1"/>
  <c r="F37" i="6" s="1"/>
  <c r="A37" i="6"/>
  <c r="F36" i="6" a="1"/>
  <c r="F36" i="6" s="1"/>
  <c r="A36" i="6"/>
  <c r="F35" i="6" a="1"/>
  <c r="F35" i="6" s="1"/>
  <c r="A35" i="6"/>
  <c r="F34" i="6" a="1"/>
  <c r="F34" i="6" s="1"/>
  <c r="A34" i="6"/>
  <c r="F33" i="6" a="1"/>
  <c r="F33" i="6" s="1"/>
  <c r="A33" i="6"/>
  <c r="F32" i="6" a="1"/>
  <c r="F32" i="6" s="1"/>
  <c r="A32" i="6"/>
  <c r="F31" i="6" a="1"/>
  <c r="F31" i="6" s="1"/>
  <c r="A31" i="6"/>
  <c r="F30" i="6" a="1"/>
  <c r="F30" i="6" s="1"/>
  <c r="A30" i="6"/>
  <c r="F29" i="6" a="1"/>
  <c r="F29" i="6" s="1"/>
  <c r="A29" i="6"/>
  <c r="F28" i="6" a="1"/>
  <c r="F28" i="6" s="1"/>
  <c r="A28" i="6"/>
  <c r="F27" i="6" a="1"/>
  <c r="F27" i="6" s="1"/>
  <c r="A27" i="6"/>
  <c r="F26" i="6" a="1"/>
  <c r="F26" i="6" s="1"/>
  <c r="A26" i="6"/>
  <c r="F25" i="6" a="1"/>
  <c r="F25" i="6" s="1"/>
  <c r="A25" i="6"/>
  <c r="F24" i="6" a="1"/>
  <c r="F24" i="6" s="1"/>
  <c r="A24" i="6"/>
  <c r="F23" i="6" a="1"/>
  <c r="F23" i="6" s="1"/>
  <c r="A23" i="6"/>
  <c r="F22" i="6" a="1"/>
  <c r="F22" i="6" s="1"/>
  <c r="A22" i="6"/>
  <c r="F21" i="6" a="1"/>
  <c r="F21" i="6" s="1"/>
  <c r="A21" i="6"/>
  <c r="F20" i="6" a="1"/>
  <c r="F20" i="6" s="1"/>
  <c r="A20" i="6"/>
  <c r="F19" i="6" a="1"/>
  <c r="F19" i="6" s="1"/>
  <c r="A19" i="6"/>
  <c r="F18" i="6" a="1"/>
  <c r="F18" i="6" s="1"/>
  <c r="A18" i="6"/>
  <c r="F17" i="6" a="1"/>
  <c r="F17" i="6" s="1"/>
  <c r="A17" i="6"/>
  <c r="F16" i="6" a="1"/>
  <c r="F16" i="6" s="1"/>
  <c r="A16" i="6"/>
  <c r="F15" i="6" a="1"/>
  <c r="F15" i="6" s="1"/>
  <c r="A15" i="6"/>
  <c r="F14" i="6" a="1"/>
  <c r="F14" i="6" s="1"/>
  <c r="A14" i="6"/>
  <c r="F13" i="6" a="1"/>
  <c r="F13" i="6" s="1"/>
  <c r="A13" i="6"/>
  <c r="F12" i="6" a="1"/>
  <c r="F12" i="6" s="1"/>
  <c r="A12" i="6"/>
  <c r="F11" i="6" a="1"/>
  <c r="F11" i="6" s="1"/>
  <c r="A11" i="6"/>
  <c r="F10" i="6" a="1"/>
  <c r="F10" i="6" s="1"/>
  <c r="A10" i="6"/>
  <c r="F9" i="6" a="1"/>
  <c r="F9" i="6" s="1"/>
  <c r="A9" i="6"/>
  <c r="F8" i="6" a="1"/>
  <c r="F8" i="6" s="1"/>
  <c r="A8" i="6"/>
  <c r="F7" i="6" a="1"/>
  <c r="F7" i="6" s="1"/>
  <c r="A7" i="6"/>
  <c r="F6" i="6" a="1"/>
  <c r="F6" i="6" s="1"/>
  <c r="A6" i="6"/>
  <c r="F5" i="6" a="1"/>
  <c r="F5" i="6" s="1"/>
  <c r="A5" i="6"/>
  <c r="F4" i="6" a="1"/>
  <c r="F4" i="6" s="1"/>
  <c r="A4" i="6"/>
  <c r="F3" i="6" a="1"/>
  <c r="F3" i="6" s="1"/>
  <c r="A3" i="6"/>
  <c r="F2" i="6" a="1"/>
  <c r="F2" i="6" s="1"/>
  <c r="A2" i="6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" i="4"/>
  <c r="F2" i="4" s="1" a="1"/>
  <c r="F2" i="4" s="1"/>
  <c r="A3" i="4"/>
  <c r="F3" i="4" s="1" a="1"/>
  <c r="F3" i="4" s="1"/>
  <c r="A4" i="4"/>
  <c r="F4" i="4" s="1" a="1"/>
  <c r="F4" i="4" s="1"/>
  <c r="A5" i="4"/>
  <c r="F5" i="4" s="1" a="1"/>
  <c r="F5" i="4" s="1"/>
  <c r="A6" i="4"/>
  <c r="F6" i="4" s="1" a="1"/>
  <c r="F6" i="4" s="1"/>
  <c r="A7" i="4"/>
  <c r="F7" i="4" s="1" a="1"/>
  <c r="F7" i="4" s="1"/>
  <c r="A8" i="4"/>
  <c r="F8" i="4" s="1" a="1"/>
  <c r="F8" i="4" s="1"/>
  <c r="A9" i="4"/>
  <c r="F9" i="4" s="1" a="1"/>
  <c r="F9" i="4" s="1"/>
  <c r="A10" i="4"/>
  <c r="F10" i="4" s="1" a="1"/>
  <c r="F10" i="4" s="1"/>
  <c r="A11" i="4"/>
  <c r="F11" i="4" s="1" a="1"/>
  <c r="F11" i="4" s="1"/>
  <c r="A12" i="4"/>
  <c r="F12" i="4" s="1" a="1"/>
  <c r="F12" i="4" s="1"/>
  <c r="A13" i="4"/>
  <c r="F13" i="4" s="1" a="1"/>
  <c r="F13" i="4" s="1"/>
  <c r="A14" i="4"/>
  <c r="F14" i="4" s="1" a="1"/>
  <c r="F14" i="4" s="1"/>
  <c r="A15" i="4"/>
  <c r="F15" i="4" s="1" a="1"/>
  <c r="F15" i="4" s="1"/>
  <c r="A16" i="4"/>
  <c r="F16" i="4" s="1" a="1"/>
  <c r="F16" i="4" s="1"/>
  <c r="A17" i="4"/>
  <c r="F17" i="4" s="1" a="1"/>
  <c r="F17" i="4" s="1"/>
  <c r="A18" i="4"/>
  <c r="F18" i="4" s="1" a="1"/>
  <c r="F18" i="4" s="1"/>
  <c r="A19" i="4"/>
  <c r="F19" i="4" s="1" a="1"/>
  <c r="F19" i="4" s="1"/>
  <c r="A20" i="4"/>
  <c r="F20" i="4" s="1" a="1"/>
  <c r="F20" i="4" s="1"/>
  <c r="A21" i="4"/>
  <c r="F21" i="4" s="1" a="1"/>
  <c r="F21" i="4" s="1"/>
  <c r="A22" i="4"/>
  <c r="F22" i="4" s="1" a="1"/>
  <c r="F22" i="4" s="1"/>
  <c r="A23" i="4"/>
  <c r="F23" i="4" s="1" a="1"/>
  <c r="F23" i="4" s="1"/>
  <c r="A24" i="4"/>
  <c r="F24" i="4" s="1" a="1"/>
  <c r="F24" i="4" s="1"/>
  <c r="A25" i="4"/>
  <c r="F25" i="4" s="1" a="1"/>
  <c r="F25" i="4" s="1"/>
  <c r="A26" i="4"/>
  <c r="F26" i="4" s="1" a="1"/>
  <c r="F26" i="4" s="1"/>
  <c r="A27" i="4"/>
  <c r="F27" i="4" s="1" a="1"/>
  <c r="F27" i="4" s="1"/>
  <c r="A28" i="4"/>
  <c r="F28" i="4" s="1" a="1"/>
  <c r="F28" i="4" s="1"/>
  <c r="A29" i="4"/>
  <c r="F29" i="4" s="1" a="1"/>
  <c r="F29" i="4" s="1"/>
  <c r="A30" i="4"/>
  <c r="F30" i="4" s="1" a="1"/>
  <c r="F30" i="4" s="1"/>
  <c r="A31" i="4"/>
  <c r="F31" i="4" s="1" a="1"/>
  <c r="F31" i="4" s="1"/>
  <c r="A32" i="4"/>
  <c r="F32" i="4" s="1" a="1"/>
  <c r="F32" i="4" s="1"/>
  <c r="A33" i="4"/>
  <c r="F33" i="4" s="1" a="1"/>
  <c r="F33" i="4" s="1"/>
  <c r="A34" i="4"/>
  <c r="F34" i="4" s="1" a="1"/>
  <c r="F34" i="4" s="1"/>
  <c r="A35" i="4"/>
  <c r="F35" i="4" s="1" a="1"/>
  <c r="F35" i="4" s="1"/>
  <c r="A36" i="4"/>
  <c r="F36" i="4" s="1" a="1"/>
  <c r="F36" i="4" s="1"/>
  <c r="A37" i="4"/>
  <c r="F37" i="4" s="1" a="1"/>
  <c r="F37" i="4" s="1"/>
  <c r="A38" i="4"/>
  <c r="F38" i="4" s="1" a="1"/>
  <c r="F38" i="4" s="1"/>
  <c r="A39" i="4"/>
  <c r="F39" i="4" s="1" a="1"/>
  <c r="F39" i="4" s="1"/>
  <c r="A40" i="4"/>
  <c r="F40" i="4" s="1" a="1"/>
  <c r="F40" i="4" s="1"/>
  <c r="A41" i="4"/>
  <c r="F41" i="4" s="1" a="1"/>
  <c r="F41" i="4" s="1"/>
  <c r="A42" i="4"/>
  <c r="F42" i="4" s="1" a="1"/>
  <c r="F42" i="4" s="1"/>
  <c r="A157" i="4"/>
  <c r="F157" i="4" s="1" a="1"/>
  <c r="F157" i="4" s="1"/>
  <c r="A158" i="4"/>
  <c r="F158" i="4" s="1" a="1"/>
  <c r="F158" i="4" s="1"/>
  <c r="A159" i="4"/>
  <c r="F159" i="4" s="1" a="1"/>
  <c r="F159" i="4" s="1"/>
  <c r="A160" i="4"/>
  <c r="F160" i="4" s="1" a="1"/>
  <c r="F160" i="4" s="1"/>
  <c r="A161" i="4"/>
  <c r="F161" i="4" s="1" a="1"/>
  <c r="F161" i="4" s="1"/>
  <c r="A162" i="4"/>
  <c r="F162" i="4" s="1" a="1"/>
  <c r="F162" i="4" s="1"/>
  <c r="A163" i="4"/>
  <c r="F163" i="4" s="1" a="1"/>
  <c r="F163" i="4" s="1"/>
  <c r="A164" i="4"/>
  <c r="F164" i="4" s="1" a="1"/>
  <c r="F164" i="4" s="1"/>
  <c r="A165" i="4"/>
  <c r="F165" i="4" s="1" a="1"/>
  <c r="F165" i="4" s="1"/>
  <c r="A156" i="4"/>
  <c r="F156" i="4" s="1" a="1"/>
  <c r="F156" i="4" s="1"/>
  <c r="A147" i="4"/>
  <c r="F147" i="4" s="1" a="1"/>
  <c r="F147" i="4" s="1"/>
  <c r="A148" i="4"/>
  <c r="F148" i="4" s="1" a="1"/>
  <c r="F148" i="4" s="1"/>
  <c r="A149" i="4"/>
  <c r="F149" i="4" s="1" a="1"/>
  <c r="F149" i="4" s="1"/>
  <c r="A150" i="4"/>
  <c r="F150" i="4" s="1" a="1"/>
  <c r="F150" i="4" s="1"/>
  <c r="A151" i="4"/>
  <c r="F151" i="4" s="1" a="1"/>
  <c r="F151" i="4" s="1"/>
  <c r="A152" i="4"/>
  <c r="F152" i="4" s="1" a="1"/>
  <c r="F152" i="4" s="1"/>
  <c r="A153" i="4"/>
  <c r="F153" i="4" s="1" a="1"/>
  <c r="F153" i="4" s="1"/>
  <c r="A154" i="4"/>
  <c r="F154" i="4" s="1" a="1"/>
  <c r="F154" i="4" s="1"/>
  <c r="A155" i="4"/>
  <c r="F155" i="4" s="1" a="1"/>
  <c r="F155" i="4" s="1"/>
  <c r="A146" i="4"/>
  <c r="F146" i="4" s="1" a="1"/>
  <c r="F146" i="4" s="1"/>
  <c r="A133" i="4"/>
  <c r="F133" i="4" s="1" a="1"/>
  <c r="F133" i="4" s="1"/>
  <c r="A134" i="4"/>
  <c r="F134" i="4" s="1" a="1"/>
  <c r="F134" i="4" s="1"/>
  <c r="A135" i="4"/>
  <c r="F135" i="4" s="1" a="1"/>
  <c r="F135" i="4" s="1"/>
  <c r="A136" i="4"/>
  <c r="F136" i="4" s="1" a="1"/>
  <c r="F136" i="4" s="1"/>
  <c r="A137" i="4"/>
  <c r="F137" i="4" s="1" a="1"/>
  <c r="F137" i="4" s="1"/>
  <c r="A138" i="4"/>
  <c r="F138" i="4" s="1" a="1"/>
  <c r="F138" i="4" s="1"/>
  <c r="A139" i="4"/>
  <c r="F139" i="4" s="1" a="1"/>
  <c r="F139" i="4" s="1"/>
  <c r="A140" i="4"/>
  <c r="F140" i="4" s="1" a="1"/>
  <c r="F140" i="4" s="1"/>
  <c r="A141" i="4"/>
  <c r="F141" i="4" s="1" a="1"/>
  <c r="F141" i="4" s="1"/>
  <c r="A142" i="4"/>
  <c r="F142" i="4" s="1" a="1"/>
  <c r="F142" i="4" s="1"/>
  <c r="A143" i="4"/>
  <c r="F143" i="4" s="1" a="1"/>
  <c r="F143" i="4" s="1"/>
  <c r="A144" i="4"/>
  <c r="F144" i="4" s="1" a="1"/>
  <c r="F144" i="4" s="1"/>
  <c r="A145" i="4"/>
  <c r="F145" i="4" s="1" a="1"/>
  <c r="F145" i="4" s="1"/>
  <c r="A132" i="4"/>
  <c r="F132" i="4" s="1" a="1"/>
  <c r="F132" i="4" s="1"/>
  <c r="A123" i="4"/>
  <c r="F123" i="4" s="1" a="1"/>
  <c r="F123" i="4" s="1"/>
  <c r="A124" i="4"/>
  <c r="F124" i="4" s="1" a="1"/>
  <c r="F124" i="4" s="1"/>
  <c r="A125" i="4"/>
  <c r="F125" i="4" s="1" a="1"/>
  <c r="F125" i="4" s="1"/>
  <c r="A126" i="4"/>
  <c r="F126" i="4" s="1" a="1"/>
  <c r="F126" i="4" s="1"/>
  <c r="A127" i="4"/>
  <c r="F127" i="4" s="1" a="1"/>
  <c r="F127" i="4" s="1"/>
  <c r="A128" i="4"/>
  <c r="F128" i="4" s="1" a="1"/>
  <c r="F128" i="4" s="1"/>
  <c r="A129" i="4"/>
  <c r="F129" i="4" s="1" a="1"/>
  <c r="F129" i="4" s="1"/>
  <c r="A130" i="4"/>
  <c r="F130" i="4" s="1" a="1"/>
  <c r="F130" i="4" s="1"/>
  <c r="A131" i="4"/>
  <c r="F131" i="4" s="1" a="1"/>
  <c r="F131" i="4" s="1"/>
  <c r="A122" i="4"/>
  <c r="F122" i="4" s="1" a="1"/>
  <c r="F122" i="4" s="1"/>
  <c r="A116" i="4"/>
  <c r="F116" i="4" s="1" a="1"/>
  <c r="F116" i="4" s="1"/>
  <c r="A117" i="4"/>
  <c r="F117" i="4" s="1" a="1"/>
  <c r="F117" i="4" s="1"/>
  <c r="A118" i="4"/>
  <c r="F118" i="4" s="1" a="1"/>
  <c r="F118" i="4" s="1"/>
  <c r="A119" i="4"/>
  <c r="F119" i="4" s="1" a="1"/>
  <c r="F119" i="4" s="1"/>
  <c r="A120" i="4"/>
  <c r="F120" i="4" s="1" a="1"/>
  <c r="F120" i="4" s="1"/>
  <c r="A121" i="4"/>
  <c r="F121" i="4" s="1" a="1"/>
  <c r="F121" i="4" s="1"/>
  <c r="A115" i="4"/>
  <c r="F115" i="4" s="1" a="1"/>
  <c r="F115" i="4" s="1"/>
  <c r="A103" i="4"/>
  <c r="F103" i="4" s="1" a="1"/>
  <c r="F103" i="4" s="1"/>
  <c r="A104" i="4"/>
  <c r="F104" i="4" s="1" a="1"/>
  <c r="F104" i="4" s="1"/>
  <c r="A105" i="4"/>
  <c r="F105" i="4" s="1" a="1"/>
  <c r="F105" i="4" s="1"/>
  <c r="A106" i="4"/>
  <c r="F106" i="4" s="1" a="1"/>
  <c r="F106" i="4" s="1"/>
  <c r="A107" i="4"/>
  <c r="F107" i="4" s="1" a="1"/>
  <c r="F107" i="4" s="1"/>
  <c r="A108" i="4"/>
  <c r="F108" i="4" s="1" a="1"/>
  <c r="F108" i="4" s="1"/>
  <c r="A109" i="4"/>
  <c r="F109" i="4" s="1" a="1"/>
  <c r="F109" i="4" s="1"/>
  <c r="A110" i="4"/>
  <c r="F110" i="4" s="1" a="1"/>
  <c r="F110" i="4" s="1"/>
  <c r="A111" i="4"/>
  <c r="F111" i="4" s="1" a="1"/>
  <c r="F111" i="4" s="1"/>
  <c r="A112" i="4"/>
  <c r="F112" i="4" s="1" a="1"/>
  <c r="F112" i="4" s="1"/>
  <c r="A113" i="4"/>
  <c r="F113" i="4" s="1" a="1"/>
  <c r="F113" i="4" s="1"/>
  <c r="A114" i="4"/>
  <c r="F114" i="4" s="1" a="1"/>
  <c r="F114" i="4" s="1"/>
  <c r="A102" i="4"/>
  <c r="F102" i="4" s="1" a="1"/>
  <c r="F102" i="4" s="1"/>
  <c r="A92" i="4"/>
  <c r="F92" i="4" s="1" a="1"/>
  <c r="F92" i="4" s="1"/>
  <c r="A93" i="4"/>
  <c r="F93" i="4" s="1" a="1"/>
  <c r="F93" i="4" s="1"/>
  <c r="A94" i="4"/>
  <c r="F94" i="4" s="1" a="1"/>
  <c r="F94" i="4" s="1"/>
  <c r="A95" i="4"/>
  <c r="F95" i="4" s="1" a="1"/>
  <c r="F95" i="4" s="1"/>
  <c r="A96" i="4"/>
  <c r="F96" i="4" s="1" a="1"/>
  <c r="F96" i="4" s="1"/>
  <c r="A97" i="4"/>
  <c r="F97" i="4" s="1" a="1"/>
  <c r="F97" i="4" s="1"/>
  <c r="A98" i="4"/>
  <c r="F98" i="4" s="1" a="1"/>
  <c r="F98" i="4" s="1"/>
  <c r="A99" i="4"/>
  <c r="F99" i="4" s="1" a="1"/>
  <c r="F99" i="4" s="1"/>
  <c r="A100" i="4"/>
  <c r="F100" i="4" s="1" a="1"/>
  <c r="F100" i="4" s="1"/>
  <c r="A101" i="4"/>
  <c r="F101" i="4" s="1" a="1"/>
  <c r="F101" i="4" s="1"/>
  <c r="A91" i="4"/>
  <c r="F91" i="4" s="1" a="1"/>
  <c r="F91" i="4" s="1"/>
  <c r="A84" i="4"/>
  <c r="F84" i="4" s="1" a="1"/>
  <c r="F84" i="4" s="1"/>
  <c r="A85" i="4"/>
  <c r="F85" i="4" s="1" a="1"/>
  <c r="F85" i="4" s="1"/>
  <c r="A86" i="4"/>
  <c r="F86" i="4" s="1" a="1"/>
  <c r="F86" i="4" s="1"/>
  <c r="A87" i="4"/>
  <c r="F87" i="4" s="1" a="1"/>
  <c r="F87" i="4" s="1"/>
  <c r="A88" i="4"/>
  <c r="F88" i="4" s="1" a="1"/>
  <c r="F88" i="4" s="1"/>
  <c r="A89" i="4"/>
  <c r="F89" i="4" s="1" a="1"/>
  <c r="F89" i="4" s="1"/>
  <c r="A90" i="4"/>
  <c r="F90" i="4" s="1" a="1"/>
  <c r="F90" i="4" s="1"/>
  <c r="A83" i="4"/>
  <c r="F83" i="4" s="1" a="1"/>
  <c r="F83" i="4" s="1"/>
  <c r="A73" i="4"/>
  <c r="F73" i="4" s="1" a="1"/>
  <c r="F73" i="4" s="1"/>
  <c r="A74" i="4"/>
  <c r="F74" i="4" s="1" a="1"/>
  <c r="F74" i="4" s="1"/>
  <c r="A75" i="4"/>
  <c r="F75" i="4" s="1" a="1"/>
  <c r="F75" i="4" s="1"/>
  <c r="A76" i="4"/>
  <c r="F76" i="4" s="1" a="1"/>
  <c r="F76" i="4" s="1"/>
  <c r="A77" i="4"/>
  <c r="F77" i="4" s="1" a="1"/>
  <c r="F77" i="4" s="1"/>
  <c r="A78" i="4"/>
  <c r="F78" i="4" s="1" a="1"/>
  <c r="F78" i="4" s="1"/>
  <c r="A79" i="4"/>
  <c r="F79" i="4" s="1" a="1"/>
  <c r="F79" i="4" s="1"/>
  <c r="A80" i="4"/>
  <c r="F80" i="4" s="1" a="1"/>
  <c r="F80" i="4" s="1"/>
  <c r="A81" i="4"/>
  <c r="F81" i="4" s="1" a="1"/>
  <c r="F81" i="4" s="1"/>
  <c r="A82" i="4"/>
  <c r="F82" i="4" s="1" a="1"/>
  <c r="F82" i="4" s="1"/>
  <c r="A72" i="4"/>
  <c r="F72" i="4" s="1" a="1"/>
  <c r="F72" i="4" s="1"/>
  <c r="A62" i="4"/>
  <c r="F62" i="4" s="1" a="1"/>
  <c r="F62" i="4" s="1"/>
  <c r="A63" i="4"/>
  <c r="F63" i="4" s="1" a="1"/>
  <c r="F63" i="4" s="1"/>
  <c r="A64" i="4"/>
  <c r="F64" i="4" s="1" a="1"/>
  <c r="F64" i="4" s="1"/>
  <c r="A65" i="4"/>
  <c r="F65" i="4" s="1" a="1"/>
  <c r="F65" i="4" s="1"/>
  <c r="A66" i="4"/>
  <c r="F66" i="4" s="1" a="1"/>
  <c r="F66" i="4" s="1"/>
  <c r="A67" i="4"/>
  <c r="F67" i="4" s="1" a="1"/>
  <c r="F67" i="4" s="1"/>
  <c r="A68" i="4"/>
  <c r="F68" i="4" s="1" a="1"/>
  <c r="F68" i="4" s="1"/>
  <c r="A69" i="4"/>
  <c r="F69" i="4" s="1" a="1"/>
  <c r="F69" i="4" s="1"/>
  <c r="A70" i="4"/>
  <c r="F70" i="4" s="1" a="1"/>
  <c r="F70" i="4" s="1"/>
  <c r="A71" i="4"/>
  <c r="F71" i="4" s="1" a="1"/>
  <c r="F71" i="4" s="1"/>
  <c r="A61" i="4"/>
  <c r="F61" i="4" s="1" a="1"/>
  <c r="F61" i="4" s="1"/>
  <c r="A54" i="4"/>
  <c r="F54" i="4" s="1" a="1"/>
  <c r="F54" i="4" s="1"/>
  <c r="A55" i="4"/>
  <c r="F55" i="4" s="1" a="1"/>
  <c r="F55" i="4" s="1"/>
  <c r="A56" i="4"/>
  <c r="F56" i="4" s="1" a="1"/>
  <c r="F56" i="4" s="1"/>
  <c r="A57" i="4"/>
  <c r="F57" i="4" s="1" a="1"/>
  <c r="F57" i="4" s="1"/>
  <c r="A58" i="4"/>
  <c r="F58" i="4" s="1" a="1"/>
  <c r="F58" i="4" s="1"/>
  <c r="A59" i="4"/>
  <c r="F59" i="4" s="1" a="1"/>
  <c r="F59" i="4" s="1"/>
  <c r="A60" i="4"/>
  <c r="F60" i="4" s="1" a="1"/>
  <c r="F60" i="4" s="1"/>
  <c r="A43" i="4"/>
  <c r="F43" i="4" s="1" a="1"/>
  <c r="F43" i="4" s="1"/>
  <c r="A44" i="4"/>
  <c r="F44" i="4" s="1" a="1"/>
  <c r="F44" i="4" s="1"/>
  <c r="A45" i="4"/>
  <c r="F45" i="4" s="1" a="1"/>
  <c r="F45" i="4" s="1"/>
  <c r="A46" i="4"/>
  <c r="F46" i="4" s="1" a="1"/>
  <c r="F46" i="4" s="1"/>
  <c r="A47" i="4"/>
  <c r="F47" i="4" s="1" a="1"/>
  <c r="F47" i="4" s="1"/>
  <c r="A48" i="4"/>
  <c r="F48" i="4" s="1" a="1"/>
  <c r="F48" i="4" s="1"/>
  <c r="A49" i="4"/>
  <c r="F49" i="4" s="1" a="1"/>
  <c r="F49" i="4" s="1"/>
  <c r="A50" i="4"/>
  <c r="F50" i="4" s="1" a="1"/>
  <c r="F50" i="4" s="1"/>
  <c r="A51" i="4"/>
  <c r="F51" i="4" s="1" a="1"/>
  <c r="F51" i="4" s="1"/>
  <c r="A52" i="4"/>
  <c r="F52" i="4" s="1" a="1"/>
  <c r="F52" i="4" s="1"/>
  <c r="A53" i="4"/>
  <c r="F53" i="4" s="1" a="1"/>
  <c r="F5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<sst xmlns="http://schemas.openxmlformats.org/spreadsheetml/2006/main" count="1678" uniqueCount="276">
  <si>
    <t>player_id</t>
  </si>
  <si>
    <t>player_name</t>
  </si>
  <si>
    <t>season</t>
  </si>
  <si>
    <t>position</t>
  </si>
  <si>
    <t>nfl_team</t>
  </si>
  <si>
    <t>college</t>
  </si>
  <si>
    <t>draft_round</t>
  </si>
  <si>
    <t>draft_pick_overall</t>
  </si>
  <si>
    <t>age_on_draft_day</t>
  </si>
  <si>
    <t>height_inches</t>
  </si>
  <si>
    <t>weight_lbs</t>
  </si>
  <si>
    <t>rookie_total_ppr_points</t>
  </si>
  <si>
    <t>season_positional_finish</t>
  </si>
  <si>
    <t>fantasy_relevant_binary</t>
  </si>
  <si>
    <t>college_games_played</t>
  </si>
  <si>
    <t>career_touchdowns</t>
  </si>
  <si>
    <t>career_yards</t>
  </si>
  <si>
    <t>Jameis Winston</t>
  </si>
  <si>
    <t>Marcus Mariota</t>
  </si>
  <si>
    <t>Amari Cooper</t>
  </si>
  <si>
    <t>Kevin White</t>
  </si>
  <si>
    <t>Todd Gurley</t>
  </si>
  <si>
    <t>DeVante Parker</t>
  </si>
  <si>
    <t>Melvin Gordon</t>
  </si>
  <si>
    <t>Nelson Agholor</t>
  </si>
  <si>
    <t>Breshad Perriman</t>
  </si>
  <si>
    <t>Phillip Dorsett</t>
  </si>
  <si>
    <t>QB</t>
  </si>
  <si>
    <t>WR</t>
  </si>
  <si>
    <t>RB</t>
  </si>
  <si>
    <t>Buccaneers</t>
  </si>
  <si>
    <t>Titans</t>
  </si>
  <si>
    <t>Raiders</t>
  </si>
  <si>
    <t>Bears</t>
  </si>
  <si>
    <t>Rams</t>
  </si>
  <si>
    <t>Dolphins</t>
  </si>
  <si>
    <t>Chargers</t>
  </si>
  <si>
    <t>Eagles</t>
  </si>
  <si>
    <t>Ravens</t>
  </si>
  <si>
    <t>Colts</t>
  </si>
  <si>
    <t>Florida St.</t>
  </si>
  <si>
    <t>Oregon</t>
  </si>
  <si>
    <t>Alabama</t>
  </si>
  <si>
    <t>West Virginia</t>
  </si>
  <si>
    <t>Georgia</t>
  </si>
  <si>
    <t>Louisville</t>
  </si>
  <si>
    <t>Wisconsin</t>
  </si>
  <si>
    <t>USC</t>
  </si>
  <si>
    <t>Central Florida</t>
  </si>
  <si>
    <t>Miami (FL)</t>
  </si>
  <si>
    <t>Jared Goff</t>
  </si>
  <si>
    <t>Carson Wentz</t>
  </si>
  <si>
    <t>Ezekiel Elliott</t>
  </si>
  <si>
    <t>Corey Coleman</t>
  </si>
  <si>
    <t>Will Fuller</t>
  </si>
  <si>
    <t>Josh Doctson</t>
  </si>
  <si>
    <t>Laquon Treadwell</t>
  </si>
  <si>
    <t>Paxton Lynch</t>
  </si>
  <si>
    <t>Cowboys</t>
  </si>
  <si>
    <t>Browns</t>
  </si>
  <si>
    <t>Texans</t>
  </si>
  <si>
    <t>Commanders</t>
  </si>
  <si>
    <t>Vikings</t>
  </si>
  <si>
    <t>Broncos</t>
  </si>
  <si>
    <t>California</t>
  </si>
  <si>
    <t>North Dakota St.</t>
  </si>
  <si>
    <t>Ohio St.</t>
  </si>
  <si>
    <t>Baylor</t>
  </si>
  <si>
    <t>Notre Dame</t>
  </si>
  <si>
    <t>TCU</t>
  </si>
  <si>
    <t>Mississippi</t>
  </si>
  <si>
    <t>Memphis</t>
  </si>
  <si>
    <t>Mitchell Trubisky</t>
  </si>
  <si>
    <t>Leonard Fournette</t>
  </si>
  <si>
    <t>Corey Davis</t>
  </si>
  <si>
    <t>Mike Williams</t>
  </si>
  <si>
    <t>Christian McCaffrey</t>
  </si>
  <si>
    <t>John Ross</t>
  </si>
  <si>
    <t>Patrick Mahomes</t>
  </si>
  <si>
    <t>Deshaun Watson</t>
  </si>
  <si>
    <t>O.J. Howard</t>
  </si>
  <si>
    <t>Evan Engram</t>
  </si>
  <si>
    <t>David Njoku</t>
  </si>
  <si>
    <t>TE</t>
  </si>
  <si>
    <t>Jaguars</t>
  </si>
  <si>
    <t>Panthers</t>
  </si>
  <si>
    <t>Bengals</t>
  </si>
  <si>
    <t>Chiefs</t>
  </si>
  <si>
    <t>Giants</t>
  </si>
  <si>
    <t>North Carolina</t>
  </si>
  <si>
    <t>LSU</t>
  </si>
  <si>
    <t>Western Michigan</t>
  </si>
  <si>
    <t>Clemson</t>
  </si>
  <si>
    <t>Stanford</t>
  </si>
  <si>
    <t>Washington</t>
  </si>
  <si>
    <t>Texas Tech</t>
  </si>
  <si>
    <t>Baker Mayfield</t>
  </si>
  <si>
    <t>Saquon Barkley</t>
  </si>
  <si>
    <t>Sam Darnold</t>
  </si>
  <si>
    <t>Josh Allen</t>
  </si>
  <si>
    <t>Josh Rosen</t>
  </si>
  <si>
    <t>D.J. Moore</t>
  </si>
  <si>
    <t>Hayden Hurst</t>
  </si>
  <si>
    <t>Calvin Ridley</t>
  </si>
  <si>
    <t>Rashaad Penny</t>
  </si>
  <si>
    <t>Sony Michel</t>
  </si>
  <si>
    <t>Lamar Jackson</t>
  </si>
  <si>
    <t>Jets</t>
  </si>
  <si>
    <t>Bills</t>
  </si>
  <si>
    <t>Cardinals</t>
  </si>
  <si>
    <t>Falcons</t>
  </si>
  <si>
    <t>Seahawks</t>
  </si>
  <si>
    <t>Patriots</t>
  </si>
  <si>
    <t>Oklahoma</t>
  </si>
  <si>
    <t>Penn St.</t>
  </si>
  <si>
    <t>Wyoming</t>
  </si>
  <si>
    <t>UCLA</t>
  </si>
  <si>
    <t>Maryland</t>
  </si>
  <si>
    <t>South Carolina</t>
  </si>
  <si>
    <t>San Diego St.</t>
  </si>
  <si>
    <t>Kyler Murray</t>
  </si>
  <si>
    <t>Daniel Jones</t>
  </si>
  <si>
    <t>T.J. Hockenson</t>
  </si>
  <si>
    <t>Dwayne Haskins</t>
  </si>
  <si>
    <t>Noah Fant</t>
  </si>
  <si>
    <t>Josh Jacobs</t>
  </si>
  <si>
    <t>Marquise Brown</t>
  </si>
  <si>
    <t>N'Keal Harry</t>
  </si>
  <si>
    <t>Lions</t>
  </si>
  <si>
    <t>Duke</t>
  </si>
  <si>
    <t>Iowa</t>
  </si>
  <si>
    <t>Arizona St.</t>
  </si>
  <si>
    <t>Joe Burrow</t>
  </si>
  <si>
    <t>Tua Tagovailoa</t>
  </si>
  <si>
    <t>Justin Herbert</t>
  </si>
  <si>
    <t>Jerry Jeudy</t>
  </si>
  <si>
    <t>CeeDee Lamb</t>
  </si>
  <si>
    <t>Jalen Reagor</t>
  </si>
  <si>
    <t>Justin Jefferson</t>
  </si>
  <si>
    <t>Brandon Aiyuk</t>
  </si>
  <si>
    <t>Jordan Love</t>
  </si>
  <si>
    <t>Clyde Edwards-Helaire</t>
  </si>
  <si>
    <t>Utah St.</t>
  </si>
  <si>
    <t>Henry Ruggs-III</t>
  </si>
  <si>
    <t>49ers</t>
  </si>
  <si>
    <t>Packers</t>
  </si>
  <si>
    <t>Trevor Lawrence</t>
  </si>
  <si>
    <t>Zach Wilson</t>
  </si>
  <si>
    <t>Trey Lance</t>
  </si>
  <si>
    <t>Kyle Pitts</t>
  </si>
  <si>
    <t>Ja'Marr Chase</t>
  </si>
  <si>
    <t>Jaylen Waddle</t>
  </si>
  <si>
    <t>DeVonta Smith</t>
  </si>
  <si>
    <t>Justin Fields</t>
  </si>
  <si>
    <t>Mac Jones</t>
  </si>
  <si>
    <t>Kadarius Toney</t>
  </si>
  <si>
    <t>Najee Harris</t>
  </si>
  <si>
    <t>Travis Etienne</t>
  </si>
  <si>
    <t>Rashod Bateman</t>
  </si>
  <si>
    <t>BYU</t>
  </si>
  <si>
    <t>Florida</t>
  </si>
  <si>
    <t>Minnesota</t>
  </si>
  <si>
    <t>Steelers</t>
  </si>
  <si>
    <t>Drake London</t>
  </si>
  <si>
    <t>Garrett Wilson</t>
  </si>
  <si>
    <t>Chris Olave</t>
  </si>
  <si>
    <t>Jameson Williams</t>
  </si>
  <si>
    <t>Jahan Dotson</t>
  </si>
  <si>
    <t>Treylon Burks</t>
  </si>
  <si>
    <t>Kenny Pickett</t>
  </si>
  <si>
    <t>Arkansas</t>
  </si>
  <si>
    <t>Pittsburgh</t>
  </si>
  <si>
    <t>Saints</t>
  </si>
  <si>
    <t>Bryce Young</t>
  </si>
  <si>
    <t>C.J. Stroud</t>
  </si>
  <si>
    <t>Anthony Richardson</t>
  </si>
  <si>
    <t>Bijan Robinson</t>
  </si>
  <si>
    <t>Jahmyr Gibbs</t>
  </si>
  <si>
    <t>Jaxon Smith-Njigba</t>
  </si>
  <si>
    <t>Quentin Johnston</t>
  </si>
  <si>
    <t>Zay Flowers</t>
  </si>
  <si>
    <t>Jordan Addison</t>
  </si>
  <si>
    <t>Dalton Kincaid</t>
  </si>
  <si>
    <t>Texas</t>
  </si>
  <si>
    <t>Boston Col.</t>
  </si>
  <si>
    <t>Utah</t>
  </si>
  <si>
    <t>Caleb Williams</t>
  </si>
  <si>
    <t>Jayden Daniels</t>
  </si>
  <si>
    <t>Drake Maye</t>
  </si>
  <si>
    <t>Malik Nabers</t>
  </si>
  <si>
    <t>Michael Penix</t>
  </si>
  <si>
    <t>Rome Odunze</t>
  </si>
  <si>
    <t>J.J. McCarthy</t>
  </si>
  <si>
    <t>Bo Nix</t>
  </si>
  <si>
    <t>Brock Bowers</t>
  </si>
  <si>
    <t>Brian Thomas</t>
  </si>
  <si>
    <t>Xavier Worthy</t>
  </si>
  <si>
    <t>Ricky Pearsall</t>
  </si>
  <si>
    <t>Xavier Legette</t>
  </si>
  <si>
    <t>Michigan</t>
  </si>
  <si>
    <t>Cam Ward</t>
  </si>
  <si>
    <t>Travis Hunter</t>
  </si>
  <si>
    <t>Ashton Jeanty</t>
  </si>
  <si>
    <t>Tetairoa McMillan</t>
  </si>
  <si>
    <t>Colston Loveland</t>
  </si>
  <si>
    <t>Tyler Warren</t>
  </si>
  <si>
    <t>Emeka Egbuka</t>
  </si>
  <si>
    <t>Omarion Hampton</t>
  </si>
  <si>
    <t>Matthew Golden</t>
  </si>
  <si>
    <t>Jaxson Dart</t>
  </si>
  <si>
    <t>Colorado</t>
  </si>
  <si>
    <t>Boise St.</t>
  </si>
  <si>
    <t>Arizona</t>
  </si>
  <si>
    <t>Marvin Harrison-Jr.</t>
  </si>
  <si>
    <t>Fernando Mendoza</t>
  </si>
  <si>
    <t>Jeremiyah Love</t>
  </si>
  <si>
    <t>Carnell Tate</t>
  </si>
  <si>
    <t>Jordyn Tyson</t>
  </si>
  <si>
    <t>Ty Simpson</t>
  </si>
  <si>
    <t>Kenyon Sadiq</t>
  </si>
  <si>
    <t>Makai Lemon</t>
  </si>
  <si>
    <t>KC Concepcion</t>
  </si>
  <si>
    <t>Jadarian Price</t>
  </si>
  <si>
    <t>Indiana</t>
  </si>
  <si>
    <t>Texas A&amp;M</t>
  </si>
  <si>
    <t>Blake Bortles</t>
  </si>
  <si>
    <t>Sammy Watkins</t>
  </si>
  <si>
    <t>Mike Evans</t>
  </si>
  <si>
    <t>Eric Ebron</t>
  </si>
  <si>
    <t>Brandin Cooks</t>
  </si>
  <si>
    <t>Johnny Manziel</t>
  </si>
  <si>
    <t>Kelvin Benjamin</t>
  </si>
  <si>
    <t>Teddy Bridgewater</t>
  </si>
  <si>
    <t>Odell Beckham-Jr.</t>
  </si>
  <si>
    <t>Oregon St.</t>
  </si>
  <si>
    <t>Tavon Austin</t>
  </si>
  <si>
    <t>EJ Manuel</t>
  </si>
  <si>
    <t>Tyler Eifert</t>
  </si>
  <si>
    <t>DeAndre Hopkins</t>
  </si>
  <si>
    <t>Cordarrelle Patterson</t>
  </si>
  <si>
    <t>Tennessee</t>
  </si>
  <si>
    <t>Andrew Luck</t>
  </si>
  <si>
    <t>Trent Richardson</t>
  </si>
  <si>
    <t>Justin Blackmon</t>
  </si>
  <si>
    <t>Ryan Tannehill</t>
  </si>
  <si>
    <t>Michael Floyd</t>
  </si>
  <si>
    <t>Kendall Wright</t>
  </si>
  <si>
    <t>Brandon Weeden</t>
  </si>
  <si>
    <t>A.J. Jenkins</t>
  </si>
  <si>
    <t>Doug Martin</t>
  </si>
  <si>
    <t>David Wilson</t>
  </si>
  <si>
    <t>Robert Griffin-III</t>
  </si>
  <si>
    <t>Oklahoma St.</t>
  </si>
  <si>
    <t>Illinois</t>
  </si>
  <si>
    <t>Virginia Tech</t>
  </si>
  <si>
    <t>Cam Newton</t>
  </si>
  <si>
    <t>A.J. Green</t>
  </si>
  <si>
    <t>Julio Jones</t>
  </si>
  <si>
    <t>Jake Locker</t>
  </si>
  <si>
    <t>Blaine Gabbert</t>
  </si>
  <si>
    <t>Christian Ponder</t>
  </si>
  <si>
    <t>Jonathan Baldwin</t>
  </si>
  <si>
    <t>Mark Ingram</t>
  </si>
  <si>
    <t>Auburn</t>
  </si>
  <si>
    <t>Missouri</t>
  </si>
  <si>
    <t>Sam Bradford</t>
  </si>
  <si>
    <t>C.J. Spiller</t>
  </si>
  <si>
    <t>Ryan Mathews</t>
  </si>
  <si>
    <t>Jermaine Gresham</t>
  </si>
  <si>
    <t>Demaryius Thomas</t>
  </si>
  <si>
    <t>Dez Bryant</t>
  </si>
  <si>
    <t>Tim Tebow</t>
  </si>
  <si>
    <t>Jahvid Best</t>
  </si>
  <si>
    <t>Fresno St.</t>
  </si>
  <si>
    <t>Georgia Tech</t>
  </si>
  <si>
    <t>Omar Cooper-Jr.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</si>
</sst>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B5595-232E-4F5B-9763-C96DA13E23D7}" name="Table1" displayName="Table1" ref="A1:N165" totalsRowShown="0">
  <autoFilter ref="A1:N165" xr:uid="{405B5595-232E-4F5B-9763-C96DA13E23D7}"/>
  <tableColumns count="14">
    <tableColumn id="1" xr3:uid="{6C1E32FB-7FD7-49D1-97C4-E0E7DD435908}" name="player_id">
      <calculatedColumnFormula>LOWER(Table1[[#This Row],[position]]) &amp; "_" &amp; TEXT(DATE(Table1[[#This Row],[season]], 1, 1), "yyyy") &amp; "_" &amp; LOWER(_xlfn.TEXTAFTER(Table1[[#This Row],[player_name]], " ", -1))</calculatedColumnFormula>
    </tableColumn>
    <tableColumn id="2" xr3:uid="{6DA01EF6-BE55-4E82-B307-01C50E39628B}" name="player_name" dataDxfId="10"/>
    <tableColumn id="3" xr3:uid="{7F26FF2A-3132-483F-AB7A-9C6BC9BB611B}" name="season"/>
    <tableColumn id="4" xr3:uid="{4AE85C5D-58EE-45AA-BD67-ED45906E718D}" name="position" dataDxfId="9"/>
    <tableColumn id="5" xr3:uid="{6071EDC8-ECB7-405B-A5F3-54BBA78854FF}" name="nfl_team"/>
    <tableColumn id="6" xr3:uid="{4D42883B-E9D2-4E4B-94CA-179021905A09}" name="draft_round">
      <calculatedColumnFormula array="1">VALUE(INDEX(_xlfn.TEXTSPLIT(Table1[[#This Row],[player_id]], "_"), 2)) / Table1[[#This Row],[season]]</calculatedColumnFormula>
    </tableColumn>
    <tableColumn id="7" xr3:uid="{7E96E056-6491-4946-B4AB-47EF796E4F67}" name="draft_pick_overall"/>
    <tableColumn id="8" xr3:uid="{3E946ED6-32B4-4711-B287-633E28054543}" name="age_on_draft_day" dataDxfId="8"/>
    <tableColumn id="9" xr3:uid="{6C352C59-B66E-400F-9FE1-C7ECF7A010E8}" name="height_inches"/>
    <tableColumn id="10" xr3:uid="{FCE4289C-4115-40EE-AF14-61B85D111A1F}" name="weight_lbs"/>
    <tableColumn id="11" xr3:uid="{2A971737-9DE0-4C76-9D04-2E310A817AF4}" name="college" dataDxfId="7"/>
    <tableColumn id="12" xr3:uid="{FE9915D2-20E8-4D00-81B9-48D0A70FF31C}" name="college_games_played"/>
    <tableColumn id="13" xr3:uid="{EDB5A4EC-FB7F-4A82-BE63-37BD7FFB6A54}" name="career_yards"/>
    <tableColumn id="14" xr3:uid="{C10BEC3E-1B2B-4088-82A4-8AAF618745BE}" name="career_touchdow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F5EA6-F76D-43A7-BE3A-0F2D0AEA6C49}" name="Table2" displayName="Table2" ref="A1:G165" totalsRowShown="0">
  <autoFilter ref="A1:G165" xr:uid="{251F5EA6-F76D-43A7-BE3A-0F2D0AEA6C49}"/>
  <tableColumns count="7">
    <tableColumn id="1" xr3:uid="{5E30A2D1-FD1D-4BAF-BF3C-2D5933F1FB0B}" name="player_id">
      <calculatedColumnFormula>LOWER(Table1[[#This Row],[position]]) &amp; "_" &amp; TEXT(DATE(Table1[[#This Row],[season]], 1, 1), "yyyy") &amp; "_" &amp; LOWER(_xlfn.TEXTAFTER(Table1[[#This Row],[player_name]], " ", -1))</calculatedColumnFormula>
    </tableColumn>
    <tableColumn id="2" xr3:uid="{5B98A38B-D6CB-4EF6-9248-FC63E53AB994}" name="player_name" dataDxfId="6"/>
    <tableColumn id="3" xr3:uid="{65523BA1-FC1B-43C6-877F-901B7A53A3F3}" name="season"/>
    <tableColumn id="4" xr3:uid="{0D01994E-C13C-4A4B-9AA2-6645295C8DC6}" name="position" dataDxfId="5"/>
    <tableColumn id="5" xr3:uid="{E82C7560-2781-480B-A3C2-38B754B57CB2}" name="rookie_total_ppr_points"/>
    <tableColumn id="6" xr3:uid="{4A2CD365-8391-47AD-B899-435D56BE23A2}" name="season_positional_finish"/>
    <tableColumn id="7" xr3:uid="{5326F36C-A987-4C2F-8CDB-7B3E9E19116A}" name="fantasy_relevant_bin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71CFE-D3CB-4485-AF2A-0B02824A651E}" name="Table3" displayName="Table3" ref="A1:Q165" totalsRowShown="0">
  <autoFilter ref="A1:Q165" xr:uid="{BC771CFE-D3CB-4485-AF2A-0B02824A651E}"/>
  <tableColumns count="17">
    <tableColumn id="1" xr3:uid="{85E1D87E-064E-4CA7-8172-2F551E963C83}" name="player_id">
      <calculatedColumnFormula>LOWER(Table1[[#This Row],[position]]) &amp; "_" &amp; TEXT(DATE(Table1[[#This Row],[season]], 1, 1), "yyyy") &amp; "_" &amp; LOWER(_xlfn.TEXTAFTER(Table1[[#This Row],[player_name]], " ", -1))</calculatedColumnFormula>
    </tableColumn>
    <tableColumn id="2" xr3:uid="{1E74EC12-59DC-40A4-BEC0-3E2EB033AA8A}" name="player_name" dataDxfId="4"/>
    <tableColumn id="3" xr3:uid="{2D8D4B97-7F50-4B9B-8152-DF4605AA1D58}" name="season"/>
    <tableColumn id="4" xr3:uid="{C7844814-8F66-4013-A7ED-D2E45B7CE4A9}" name="position" dataDxfId="3"/>
    <tableColumn id="5" xr3:uid="{26D53BF0-B7A4-41C6-9F48-33BBDA5C02A6}" name="nfl_team"/>
    <tableColumn id="6" xr3:uid="{9465F94D-D5E7-4CA8-A839-9201F431622C}" name="draft_round">
      <calculatedColumnFormula array="1">VALUE(INDEX(_xlfn.TEXTSPLIT(Table1[[#This Row],[player_id]], "_"), 2)) / Table1[[#This Row],[season]]</calculatedColumnFormula>
    </tableColumn>
    <tableColumn id="7" xr3:uid="{4205BC31-41A5-4ED0-9E83-14CB3C7AB7F4}" name="draft_pick_overall" dataDxfId="2"/>
    <tableColumn id="8" xr3:uid="{A0786C76-6932-473B-B883-C9D0BBBCD284}" name="age_on_draft_day" dataDxfId="1"/>
    <tableColumn id="9" xr3:uid="{EBC436A0-7B3A-4F57-A97E-D91D38559743}" name="height_inches"/>
    <tableColumn id="10" xr3:uid="{751B0276-D57B-4B51-AFF1-66F37EF160FD}" name="weight_lbs"/>
    <tableColumn id="11" xr3:uid="{3077FC53-9308-4629-AC8D-C65D11063CA4}" name="college" dataDxfId="0"/>
    <tableColumn id="12" xr3:uid="{005FA488-85AF-4B07-AC65-81A5828219DC}" name="college_games_played"/>
    <tableColumn id="13" xr3:uid="{C7CBEBC6-F707-4FA2-A751-BBBAA59EE241}" name="career_yards"/>
    <tableColumn id="14" xr3:uid="{3999A123-4332-4EAB-B788-B2F9554C386C}" name="career_touchdowns"/>
    <tableColumn id="15" xr3:uid="{6F37E238-2443-49B9-BE38-04D87BAA4DAF}" name="rookie_total_ppr_points"/>
    <tableColumn id="16" xr3:uid="{C25A6E6E-D68C-4AE6-9B23-40E3D8AB8FB0}" name="season_positional_finish"/>
    <tableColumn id="17" xr3:uid="{6F9C9C9B-BE56-417C-88A3-A4E6CAB3A38A}" name="fantasy_relevant_bin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E1E4-B4C8-4132-8354-85CB38656E6A}">
  <dimension ref="A1:N165"/>
  <sheetViews>
    <sheetView topLeftCell="A140" workbookViewId="0">
      <selection activeCell="A164" sqref="A164:B165"/>
    </sheetView>
  </sheetViews>
  <sheetFormatPr defaultRowHeight="14.5" x14ac:dyDescent="0.35"/>
  <cols>
    <col min="1" max="1" width="21.36328125" bestFit="1" customWidth="1"/>
    <col min="2" max="2" width="24.54296875" customWidth="1"/>
    <col min="4" max="4" width="9.6328125" customWidth="1"/>
    <col min="5" max="5" width="19.7265625" bestFit="1" customWidth="1"/>
    <col min="6" max="6" width="12.54296875" customWidth="1"/>
    <col min="7" max="7" width="17.7265625" customWidth="1"/>
    <col min="8" max="8" width="17.26953125" customWidth="1"/>
    <col min="9" max="9" width="14.54296875" customWidth="1"/>
    <col min="10" max="10" width="11.7265625" customWidth="1"/>
    <col min="11" max="11" width="16.7265625" customWidth="1"/>
    <col min="12" max="12" width="21.54296875" customWidth="1"/>
    <col min="13" max="13" width="13.453125" customWidth="1"/>
    <col min="14" max="14" width="19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</v>
      </c>
      <c r="L1" t="s">
        <v>14</v>
      </c>
      <c r="M1" t="s">
        <v>16</v>
      </c>
      <c r="N1" t="s">
        <v>15</v>
      </c>
    </row>
    <row r="2" spans="1:14" x14ac:dyDescent="0.35">
      <c r="A2" t="str">
        <f>LOWER(Table1[[#This Row],[position]]) &amp; "_" &amp; TEXT(DATE(Table1[[#This Row],[season]], 1, 1), "yyyy") &amp; "_" &amp; LOWER(_xlfn.TEXTAFTER(Table1[[#This Row],[player_name]], " ", -1))</f>
        <v>qb_2010_bradford</v>
      </c>
      <c r="B2" s="1" t="s">
        <v>265</v>
      </c>
      <c r="C2">
        <v>2010</v>
      </c>
      <c r="D2" s="1" t="s">
        <v>27</v>
      </c>
      <c r="E2" t="s">
        <v>34</v>
      </c>
      <c r="F2" cm="1">
        <f t="array" ref="F2">VALUE(INDEX(_xlfn.TEXTSPLIT(Table1[[#This Row],[player_id]], "_"), 2)) / Table1[[#This Row],[season]]</f>
        <v>1</v>
      </c>
      <c r="G2" s="1">
        <v>1</v>
      </c>
      <c r="H2" s="1">
        <v>22</v>
      </c>
      <c r="I2">
        <v>76</v>
      </c>
      <c r="J2">
        <v>224</v>
      </c>
      <c r="K2" s="1" t="s">
        <v>113</v>
      </c>
      <c r="L2">
        <v>31</v>
      </c>
      <c r="M2">
        <v>8403</v>
      </c>
      <c r="N2">
        <v>88</v>
      </c>
    </row>
    <row r="3" spans="1:14" x14ac:dyDescent="0.35">
      <c r="A3" t="str">
        <f>LOWER(Table1[[#This Row],[position]]) &amp; "_" &amp; TEXT(DATE(Table1[[#This Row],[season]], 1, 1), "yyyy") &amp; "_" &amp; LOWER(_xlfn.TEXTAFTER(Table1[[#This Row],[player_name]], " ", -1))</f>
        <v>rb_2010_spiller</v>
      </c>
      <c r="B3" s="1" t="s">
        <v>266</v>
      </c>
      <c r="C3">
        <v>2010</v>
      </c>
      <c r="D3" s="1" t="s">
        <v>29</v>
      </c>
      <c r="E3" t="s">
        <v>108</v>
      </c>
      <c r="F3" cm="1">
        <f t="array" ref="F3">VALUE(INDEX(_xlfn.TEXTSPLIT(Table1[[#This Row],[player_id]], "_"), 2)) / Table1[[#This Row],[season]]</f>
        <v>1</v>
      </c>
      <c r="G3" s="1">
        <v>9</v>
      </c>
      <c r="H3" s="1">
        <v>23</v>
      </c>
      <c r="I3">
        <v>71</v>
      </c>
      <c r="J3">
        <v>194</v>
      </c>
      <c r="K3" s="1" t="s">
        <v>92</v>
      </c>
      <c r="L3">
        <v>52</v>
      </c>
      <c r="M3">
        <v>3547</v>
      </c>
      <c r="N3">
        <v>32</v>
      </c>
    </row>
    <row r="4" spans="1:14" x14ac:dyDescent="0.35">
      <c r="A4" t="str">
        <f>LOWER(Table1[[#This Row],[position]]) &amp; "_" &amp; TEXT(DATE(Table1[[#This Row],[season]], 1, 1), "yyyy") &amp; "_" &amp; LOWER(_xlfn.TEXTAFTER(Table1[[#This Row],[player_name]], " ", -1))</f>
        <v>rb_2010_mathews</v>
      </c>
      <c r="B4" s="1" t="s">
        <v>267</v>
      </c>
      <c r="C4">
        <v>2010</v>
      </c>
      <c r="D4" s="1" t="s">
        <v>29</v>
      </c>
      <c r="E4" t="s">
        <v>36</v>
      </c>
      <c r="F4" cm="1">
        <f t="array" ref="F4">VALUE(INDEX(_xlfn.TEXTSPLIT(Table1[[#This Row],[player_id]], "_"), 2)) / Table1[[#This Row],[season]]</f>
        <v>1</v>
      </c>
      <c r="G4" s="1">
        <v>12</v>
      </c>
      <c r="H4" s="1">
        <v>22</v>
      </c>
      <c r="I4">
        <v>72</v>
      </c>
      <c r="J4">
        <v>220</v>
      </c>
      <c r="K4" s="1" t="s">
        <v>273</v>
      </c>
      <c r="L4">
        <v>31</v>
      </c>
      <c r="M4">
        <v>3280</v>
      </c>
      <c r="N4">
        <v>39</v>
      </c>
    </row>
    <row r="5" spans="1:14" x14ac:dyDescent="0.35">
      <c r="A5" t="str">
        <f>LOWER(Table1[[#This Row],[position]]) &amp; "_" &amp; TEXT(DATE(Table1[[#This Row],[season]], 1, 1), "yyyy") &amp; "_" &amp; LOWER(_xlfn.TEXTAFTER(Table1[[#This Row],[player_name]], " ", -1))</f>
        <v>te_2010_gresham</v>
      </c>
      <c r="B5" s="1" t="s">
        <v>268</v>
      </c>
      <c r="C5">
        <v>2010</v>
      </c>
      <c r="D5" s="1" t="s">
        <v>83</v>
      </c>
      <c r="E5" t="s">
        <v>86</v>
      </c>
      <c r="F5" cm="1">
        <f t="array" ref="F5">VALUE(INDEX(_xlfn.TEXTSPLIT(Table1[[#This Row],[player_id]], "_"), 2)) / Table1[[#This Row],[season]]</f>
        <v>1</v>
      </c>
      <c r="G5" s="1">
        <v>21</v>
      </c>
      <c r="H5" s="1">
        <v>22</v>
      </c>
      <c r="I5">
        <v>77</v>
      </c>
      <c r="J5">
        <v>260</v>
      </c>
      <c r="K5" s="1" t="s">
        <v>113</v>
      </c>
      <c r="L5">
        <v>41</v>
      </c>
      <c r="M5">
        <v>1629</v>
      </c>
      <c r="N5">
        <v>26</v>
      </c>
    </row>
    <row r="6" spans="1:14" x14ac:dyDescent="0.35">
      <c r="A6" t="str">
        <f>LOWER(Table1[[#This Row],[position]]) &amp; "_" &amp; TEXT(DATE(Table1[[#This Row],[season]], 1, 1), "yyyy") &amp; "_" &amp; LOWER(_xlfn.TEXTAFTER(Table1[[#This Row],[player_name]], " ", -1))</f>
        <v>wr_2010_thomas</v>
      </c>
      <c r="B6" s="1" t="s">
        <v>269</v>
      </c>
      <c r="C6">
        <v>2010</v>
      </c>
      <c r="D6" s="1" t="s">
        <v>28</v>
      </c>
      <c r="E6" t="s">
        <v>63</v>
      </c>
      <c r="F6" cm="1">
        <f t="array" ref="F6">VALUE(INDEX(_xlfn.TEXTSPLIT(Table1[[#This Row],[player_id]], "_"), 2)) / Table1[[#This Row],[season]]</f>
        <v>1</v>
      </c>
      <c r="G6" s="1">
        <v>22</v>
      </c>
      <c r="H6" s="1">
        <v>22</v>
      </c>
      <c r="I6">
        <v>75</v>
      </c>
      <c r="J6">
        <v>225</v>
      </c>
      <c r="K6" s="1" t="s">
        <v>274</v>
      </c>
      <c r="L6">
        <v>39</v>
      </c>
      <c r="M6">
        <v>2339</v>
      </c>
      <c r="N6">
        <v>15</v>
      </c>
    </row>
    <row r="7" spans="1:14" x14ac:dyDescent="0.35">
      <c r="A7" t="str">
        <f>LOWER(Table1[[#This Row],[position]]) &amp; "_" &amp; TEXT(DATE(Table1[[#This Row],[season]], 1, 1), "yyyy") &amp; "_" &amp; LOWER(_xlfn.TEXTAFTER(Table1[[#This Row],[player_name]], " ", -1))</f>
        <v>wr_2010_bryant</v>
      </c>
      <c r="B7" s="1" t="s">
        <v>270</v>
      </c>
      <c r="C7">
        <v>2010</v>
      </c>
      <c r="D7" s="1" t="s">
        <v>28</v>
      </c>
      <c r="E7" t="s">
        <v>58</v>
      </c>
      <c r="F7" cm="1">
        <f t="array" ref="F7">VALUE(INDEX(_xlfn.TEXTSPLIT(Table1[[#This Row],[player_id]], "_"), 2)) / Table1[[#This Row],[season]]</f>
        <v>1</v>
      </c>
      <c r="G7" s="1">
        <v>24</v>
      </c>
      <c r="H7" s="1">
        <v>21</v>
      </c>
      <c r="I7">
        <v>74</v>
      </c>
      <c r="J7">
        <v>220</v>
      </c>
      <c r="K7" s="1" t="s">
        <v>252</v>
      </c>
      <c r="L7">
        <v>28</v>
      </c>
      <c r="M7">
        <v>2425</v>
      </c>
      <c r="N7">
        <v>29</v>
      </c>
    </row>
    <row r="8" spans="1:14" x14ac:dyDescent="0.35">
      <c r="A8" t="str">
        <f>LOWER(Table1[[#This Row],[position]]) &amp; "_" &amp; TEXT(DATE(Table1[[#This Row],[season]], 1, 1), "yyyy") &amp; "_" &amp; LOWER(_xlfn.TEXTAFTER(Table1[[#This Row],[player_name]], " ", -1))</f>
        <v>qb_2010_tebow</v>
      </c>
      <c r="B8" s="1" t="s">
        <v>271</v>
      </c>
      <c r="C8">
        <v>2010</v>
      </c>
      <c r="D8" s="1" t="s">
        <v>27</v>
      </c>
      <c r="E8" t="s">
        <v>63</v>
      </c>
      <c r="F8" cm="1">
        <f t="array" ref="F8">VALUE(INDEX(_xlfn.TEXTSPLIT(Table1[[#This Row],[player_id]], "_"), 2)) / Table1[[#This Row],[season]]</f>
        <v>1</v>
      </c>
      <c r="G8" s="1">
        <v>25</v>
      </c>
      <c r="H8" s="1">
        <v>23</v>
      </c>
      <c r="I8">
        <v>74</v>
      </c>
      <c r="J8">
        <v>236</v>
      </c>
      <c r="K8" s="1" t="s">
        <v>160</v>
      </c>
      <c r="L8">
        <v>55</v>
      </c>
      <c r="M8">
        <v>9285</v>
      </c>
      <c r="N8">
        <v>88</v>
      </c>
    </row>
    <row r="9" spans="1:14" x14ac:dyDescent="0.35">
      <c r="A9" t="str">
        <f>LOWER(Table1[[#This Row],[position]]) &amp; "_" &amp; TEXT(DATE(Table1[[#This Row],[season]], 1, 1), "yyyy") &amp; "_" &amp; LOWER(_xlfn.TEXTAFTER(Table1[[#This Row],[player_name]], " ", -1))</f>
        <v>rb_2010_best</v>
      </c>
      <c r="B9" s="1" t="s">
        <v>272</v>
      </c>
      <c r="C9">
        <v>2010</v>
      </c>
      <c r="D9" s="1" t="s">
        <v>29</v>
      </c>
      <c r="E9" t="s">
        <v>128</v>
      </c>
      <c r="F9" cm="1">
        <f t="array" ref="F9">VALUE(INDEX(_xlfn.TEXTSPLIT(Table1[[#This Row],[player_id]], "_"), 2)) / Table1[[#This Row],[season]]</f>
        <v>1</v>
      </c>
      <c r="G9" s="1">
        <v>30</v>
      </c>
      <c r="H9" s="1">
        <v>21</v>
      </c>
      <c r="I9">
        <v>69</v>
      </c>
      <c r="J9">
        <v>190</v>
      </c>
      <c r="K9" s="1" t="s">
        <v>64</v>
      </c>
      <c r="L9">
        <v>31</v>
      </c>
      <c r="M9">
        <v>2668</v>
      </c>
      <c r="N9">
        <v>29</v>
      </c>
    </row>
    <row r="10" spans="1:14" x14ac:dyDescent="0.35">
      <c r="A10" t="str">
        <f>LOWER(Table1[[#This Row],[position]]) &amp; "_" &amp; TEXT(DATE(Table1[[#This Row],[season]], 1, 1), "yyyy") &amp; "_" &amp; LOWER(_xlfn.TEXTAFTER(Table1[[#This Row],[player_name]], " ", -1))</f>
        <v>qb_2011_newton</v>
      </c>
      <c r="B10" s="1" t="s">
        <v>255</v>
      </c>
      <c r="C10">
        <v>2011</v>
      </c>
      <c r="D10" s="1" t="s">
        <v>27</v>
      </c>
      <c r="E10" t="s">
        <v>85</v>
      </c>
      <c r="F10" cm="1">
        <f t="array" ref="F10">VALUE(INDEX(_xlfn.TEXTSPLIT(Table1[[#This Row],[player_id]], "_"), 2)) / Table1[[#This Row],[season]]</f>
        <v>1</v>
      </c>
      <c r="G10" s="1">
        <v>1</v>
      </c>
      <c r="H10" s="1">
        <v>22</v>
      </c>
      <c r="I10">
        <v>77</v>
      </c>
      <c r="J10">
        <v>245</v>
      </c>
      <c r="K10" s="1" t="s">
        <v>263</v>
      </c>
      <c r="L10">
        <v>20</v>
      </c>
      <c r="M10">
        <v>2908</v>
      </c>
      <c r="N10">
        <v>30</v>
      </c>
    </row>
    <row r="11" spans="1:14" x14ac:dyDescent="0.35">
      <c r="A11" t="str">
        <f>LOWER(Table1[[#This Row],[position]]) &amp; "_" &amp; TEXT(DATE(Table1[[#This Row],[season]], 1, 1), "yyyy") &amp; "_" &amp; LOWER(_xlfn.TEXTAFTER(Table1[[#This Row],[player_name]], " ", -1))</f>
        <v>wr_2011_green</v>
      </c>
      <c r="B11" s="1" t="s">
        <v>256</v>
      </c>
      <c r="C11">
        <v>2011</v>
      </c>
      <c r="D11" s="1" t="s">
        <v>28</v>
      </c>
      <c r="E11" t="s">
        <v>86</v>
      </c>
      <c r="F11" cm="1">
        <f t="array" ref="F11">VALUE(INDEX(_xlfn.TEXTSPLIT(Table1[[#This Row],[player_id]], "_"), 2)) / Table1[[#This Row],[season]]</f>
        <v>1</v>
      </c>
      <c r="G11" s="1">
        <v>4</v>
      </c>
      <c r="H11" s="1">
        <v>23</v>
      </c>
      <c r="I11">
        <v>76</v>
      </c>
      <c r="J11">
        <v>207</v>
      </c>
      <c r="K11" s="1" t="s">
        <v>44</v>
      </c>
      <c r="L11">
        <v>32</v>
      </c>
      <c r="M11">
        <v>2619</v>
      </c>
      <c r="N11">
        <v>23</v>
      </c>
    </row>
    <row r="12" spans="1:14" x14ac:dyDescent="0.35">
      <c r="A12" t="str">
        <f>LOWER(Table1[[#This Row],[position]]) &amp; "_" &amp; TEXT(DATE(Table1[[#This Row],[season]], 1, 1), "yyyy") &amp; "_" &amp; LOWER(_xlfn.TEXTAFTER(Table1[[#This Row],[player_name]], " ", -1))</f>
        <v>wr_2011_jones</v>
      </c>
      <c r="B12" s="1" t="s">
        <v>257</v>
      </c>
      <c r="C12">
        <v>2011</v>
      </c>
      <c r="D12" s="1" t="s">
        <v>28</v>
      </c>
      <c r="E12" t="s">
        <v>110</v>
      </c>
      <c r="F12" cm="1">
        <f t="array" ref="F12">VALUE(INDEX(_xlfn.TEXTSPLIT(Table1[[#This Row],[player_id]], "_"), 2)) / Table1[[#This Row],[season]]</f>
        <v>1</v>
      </c>
      <c r="G12" s="1">
        <v>6</v>
      </c>
      <c r="H12" s="1">
        <v>22</v>
      </c>
      <c r="I12">
        <v>75</v>
      </c>
      <c r="J12">
        <v>220</v>
      </c>
      <c r="K12" s="1" t="s">
        <v>42</v>
      </c>
      <c r="L12">
        <v>40</v>
      </c>
      <c r="M12">
        <v>2653</v>
      </c>
      <c r="N12">
        <v>15</v>
      </c>
    </row>
    <row r="13" spans="1:14" x14ac:dyDescent="0.35">
      <c r="A13" t="str">
        <f>LOWER(Table1[[#This Row],[position]]) &amp; "_" &amp; TEXT(DATE(Table1[[#This Row],[season]], 1, 1), "yyyy") &amp; "_" &amp; LOWER(_xlfn.TEXTAFTER(Table1[[#This Row],[player_name]], " ", -1))</f>
        <v>qb_2011_locker</v>
      </c>
      <c r="B13" s="1" t="s">
        <v>258</v>
      </c>
      <c r="C13">
        <v>2011</v>
      </c>
      <c r="D13" s="1" t="s">
        <v>27</v>
      </c>
      <c r="E13" t="s">
        <v>31</v>
      </c>
      <c r="F13" cm="1">
        <f t="array" ref="F13">VALUE(INDEX(_xlfn.TEXTSPLIT(Table1[[#This Row],[player_id]], "_"), 2)) / Table1[[#This Row],[season]]</f>
        <v>1</v>
      </c>
      <c r="G13" s="1">
        <v>8</v>
      </c>
      <c r="H13" s="1">
        <v>23</v>
      </c>
      <c r="I13">
        <v>74</v>
      </c>
      <c r="J13">
        <v>228</v>
      </c>
      <c r="K13" s="1" t="s">
        <v>94</v>
      </c>
      <c r="L13">
        <v>40</v>
      </c>
      <c r="M13">
        <v>7639</v>
      </c>
      <c r="N13">
        <v>53</v>
      </c>
    </row>
    <row r="14" spans="1:14" x14ac:dyDescent="0.35">
      <c r="A14" t="str">
        <f>LOWER(Table1[[#This Row],[position]]) &amp; "_" &amp; TEXT(DATE(Table1[[#This Row],[season]], 1, 1), "yyyy") &amp; "_" &amp; LOWER(_xlfn.TEXTAFTER(Table1[[#This Row],[player_name]], " ", -1))</f>
        <v>qb_2011_gabbert</v>
      </c>
      <c r="B14" s="1" t="s">
        <v>259</v>
      </c>
      <c r="C14">
        <v>2011</v>
      </c>
      <c r="D14" s="1" t="s">
        <v>27</v>
      </c>
      <c r="E14" t="s">
        <v>84</v>
      </c>
      <c r="F14" cm="1">
        <f t="array" ref="F14">VALUE(INDEX(_xlfn.TEXTSPLIT(Table1[[#This Row],[player_id]], "_"), 2)) / Table1[[#This Row],[season]]</f>
        <v>1</v>
      </c>
      <c r="G14" s="1">
        <v>10</v>
      </c>
      <c r="H14" s="1">
        <v>21</v>
      </c>
      <c r="I14">
        <v>76</v>
      </c>
      <c r="J14">
        <v>233</v>
      </c>
      <c r="K14" s="1" t="s">
        <v>264</v>
      </c>
      <c r="L14">
        <v>31</v>
      </c>
      <c r="M14">
        <v>6822</v>
      </c>
      <c r="N14">
        <v>40</v>
      </c>
    </row>
    <row r="15" spans="1:14" x14ac:dyDescent="0.35">
      <c r="A15" t="str">
        <f>LOWER(Table1[[#This Row],[position]]) &amp; "_" &amp; TEXT(DATE(Table1[[#This Row],[season]], 1, 1), "yyyy") &amp; "_" &amp; LOWER(_xlfn.TEXTAFTER(Table1[[#This Row],[player_name]], " ", -1))</f>
        <v>qb_2011_ponder</v>
      </c>
      <c r="B15" s="1" t="s">
        <v>260</v>
      </c>
      <c r="C15">
        <v>2011</v>
      </c>
      <c r="D15" s="1" t="s">
        <v>27</v>
      </c>
      <c r="E15" t="s">
        <v>62</v>
      </c>
      <c r="F15" cm="1">
        <f t="array" ref="F15">VALUE(INDEX(_xlfn.TEXTSPLIT(Table1[[#This Row],[player_id]], "_"), 2)) / Table1[[#This Row],[season]]</f>
        <v>1</v>
      </c>
      <c r="G15" s="1">
        <v>12</v>
      </c>
      <c r="H15" s="1">
        <v>23</v>
      </c>
      <c r="I15">
        <v>74</v>
      </c>
      <c r="J15">
        <v>222</v>
      </c>
      <c r="K15" s="1" t="s">
        <v>40</v>
      </c>
      <c r="L15">
        <v>35</v>
      </c>
      <c r="M15">
        <v>6872</v>
      </c>
      <c r="N15">
        <v>49</v>
      </c>
    </row>
    <row r="16" spans="1:14" x14ac:dyDescent="0.35">
      <c r="A16" t="str">
        <f>LOWER(Table1[[#This Row],[position]]) &amp; "_" &amp; TEXT(DATE(Table1[[#This Row],[season]], 1, 1), "yyyy") &amp; "_" &amp; LOWER(_xlfn.TEXTAFTER(Table1[[#This Row],[player_name]], " ", -1))</f>
        <v>wr_2011_baldwin</v>
      </c>
      <c r="B16" s="1" t="s">
        <v>261</v>
      </c>
      <c r="C16">
        <v>2011</v>
      </c>
      <c r="D16" s="1" t="s">
        <v>28</v>
      </c>
      <c r="E16" t="s">
        <v>87</v>
      </c>
      <c r="F16" cm="1">
        <f t="array" ref="F16">VALUE(INDEX(_xlfn.TEXTSPLIT(Table1[[#This Row],[player_id]], "_"), 2)) / Table1[[#This Row],[season]]</f>
        <v>1</v>
      </c>
      <c r="G16" s="1">
        <v>26</v>
      </c>
      <c r="H16" s="1">
        <v>22</v>
      </c>
      <c r="I16">
        <v>76</v>
      </c>
      <c r="J16">
        <v>225</v>
      </c>
      <c r="K16" s="1" t="s">
        <v>171</v>
      </c>
      <c r="L16">
        <v>39</v>
      </c>
      <c r="M16">
        <v>2337</v>
      </c>
      <c r="N16">
        <v>16</v>
      </c>
    </row>
    <row r="17" spans="1:14" x14ac:dyDescent="0.35">
      <c r="A17" t="str">
        <f>LOWER(Table1[[#This Row],[position]]) &amp; "_" &amp; TEXT(DATE(Table1[[#This Row],[season]], 1, 1), "yyyy") &amp; "_" &amp; LOWER(_xlfn.TEXTAFTER(Table1[[#This Row],[player_name]], " ", -1))</f>
        <v>rb_2011_ingram</v>
      </c>
      <c r="B17" s="1" t="s">
        <v>262</v>
      </c>
      <c r="C17">
        <v>2011</v>
      </c>
      <c r="D17" s="1" t="s">
        <v>29</v>
      </c>
      <c r="E17" t="s">
        <v>172</v>
      </c>
      <c r="F17" cm="1">
        <f t="array" ref="F17">VALUE(INDEX(_xlfn.TEXTSPLIT(Table1[[#This Row],[player_id]], "_"), 2)) / Table1[[#This Row],[season]]</f>
        <v>1</v>
      </c>
      <c r="G17" s="1">
        <v>28</v>
      </c>
      <c r="H17" s="1">
        <v>21</v>
      </c>
      <c r="I17">
        <v>69</v>
      </c>
      <c r="J17">
        <v>215</v>
      </c>
      <c r="K17" s="1" t="s">
        <v>42</v>
      </c>
      <c r="L17">
        <v>39</v>
      </c>
      <c r="M17">
        <v>3261</v>
      </c>
      <c r="N17">
        <v>42</v>
      </c>
    </row>
    <row r="18" spans="1:14" x14ac:dyDescent="0.35">
      <c r="A18" t="str">
        <f>LOWER(Table1[[#This Row],[position]]) &amp; "_" &amp; TEXT(DATE(Table1[[#This Row],[season]], 1, 1), "yyyy") &amp; "_" &amp; LOWER(_xlfn.TEXTAFTER(Table1[[#This Row],[player_name]], " ", -1))</f>
        <v>qb_2012_luck</v>
      </c>
      <c r="B18" s="1" t="s">
        <v>241</v>
      </c>
      <c r="C18">
        <v>2012</v>
      </c>
      <c r="D18" s="1" t="s">
        <v>27</v>
      </c>
      <c r="E18" t="s">
        <v>39</v>
      </c>
      <c r="F18" cm="1">
        <f t="array" ref="F18">VALUE(INDEX(_xlfn.TEXTSPLIT(Table1[[#This Row],[player_id]], "_"), 2)) / Table1[[#This Row],[season]]</f>
        <v>1</v>
      </c>
      <c r="G18" s="1">
        <v>1</v>
      </c>
      <c r="H18" s="1">
        <v>22</v>
      </c>
      <c r="I18">
        <v>76</v>
      </c>
      <c r="J18">
        <v>240</v>
      </c>
      <c r="K18" s="1" t="s">
        <v>93</v>
      </c>
      <c r="L18">
        <v>38</v>
      </c>
      <c r="M18">
        <v>9430</v>
      </c>
      <c r="N18">
        <v>82</v>
      </c>
    </row>
    <row r="19" spans="1:14" x14ac:dyDescent="0.35">
      <c r="A19" t="str">
        <f>LOWER(Table1[[#This Row],[position]]) &amp; "_" &amp; TEXT(DATE(Table1[[#This Row],[season]], 1, 1), "yyyy") &amp; "_" &amp; LOWER(_xlfn.TEXTAFTER(Table1[[#This Row],[player_name]], " ", -1))</f>
        <v>qb_2012_griffin-iii</v>
      </c>
      <c r="B19" s="1" t="s">
        <v>251</v>
      </c>
      <c r="C19">
        <v>2012</v>
      </c>
      <c r="D19" s="1" t="s">
        <v>27</v>
      </c>
      <c r="E19" t="s">
        <v>61</v>
      </c>
      <c r="F19" cm="1">
        <f t="array" ref="F19">VALUE(INDEX(_xlfn.TEXTSPLIT(Table1[[#This Row],[player_id]], "_"), 2)) / Table1[[#This Row],[season]]</f>
        <v>1</v>
      </c>
      <c r="G19" s="1">
        <v>2</v>
      </c>
      <c r="H19" s="1">
        <v>22</v>
      </c>
      <c r="I19">
        <v>74</v>
      </c>
      <c r="J19">
        <v>213</v>
      </c>
      <c r="K19" s="1" t="s">
        <v>67</v>
      </c>
      <c r="L19">
        <v>41</v>
      </c>
      <c r="M19">
        <v>10366</v>
      </c>
      <c r="N19">
        <v>78</v>
      </c>
    </row>
    <row r="20" spans="1:14" x14ac:dyDescent="0.35">
      <c r="A20" t="str">
        <f>LOWER(Table1[[#This Row],[position]]) &amp; "_" &amp; TEXT(DATE(Table1[[#This Row],[season]], 1, 1), "yyyy") &amp; "_" &amp; LOWER(_xlfn.TEXTAFTER(Table1[[#This Row],[player_name]], " ", -1))</f>
        <v>rb_2012_richardson</v>
      </c>
      <c r="B20" s="1" t="s">
        <v>242</v>
      </c>
      <c r="C20">
        <v>2012</v>
      </c>
      <c r="D20" s="1" t="s">
        <v>29</v>
      </c>
      <c r="E20" t="s">
        <v>59</v>
      </c>
      <c r="F20" cm="1">
        <f t="array" ref="F20">VALUE(INDEX(_xlfn.TEXTSPLIT(Table1[[#This Row],[player_id]], "_"), 2)) / Table1[[#This Row],[season]]</f>
        <v>1</v>
      </c>
      <c r="G20" s="1">
        <v>3</v>
      </c>
      <c r="H20" s="1">
        <v>22</v>
      </c>
      <c r="I20">
        <v>69</v>
      </c>
      <c r="J20">
        <v>228</v>
      </c>
      <c r="K20" s="1" t="s">
        <v>42</v>
      </c>
      <c r="L20">
        <v>38</v>
      </c>
      <c r="M20">
        <v>3130</v>
      </c>
      <c r="N20">
        <v>35</v>
      </c>
    </row>
    <row r="21" spans="1:14" x14ac:dyDescent="0.35">
      <c r="A21" t="str">
        <f>LOWER(Table1[[#This Row],[position]]) &amp; "_" &amp; TEXT(DATE(Table1[[#This Row],[season]], 1, 1), "yyyy") &amp; "_" &amp; LOWER(_xlfn.TEXTAFTER(Table1[[#This Row],[player_name]], " ", -1))</f>
        <v>wr_2012_blackmon</v>
      </c>
      <c r="B21" s="1" t="s">
        <v>243</v>
      </c>
      <c r="C21">
        <v>2012</v>
      </c>
      <c r="D21" s="1" t="s">
        <v>28</v>
      </c>
      <c r="E21" t="s">
        <v>84</v>
      </c>
      <c r="F21" cm="1">
        <f t="array" ref="F21">VALUE(INDEX(_xlfn.TEXTSPLIT(Table1[[#This Row],[player_id]], "_"), 2)) / Table1[[#This Row],[season]]</f>
        <v>1</v>
      </c>
      <c r="G21" s="1">
        <v>5</v>
      </c>
      <c r="H21" s="1">
        <v>22</v>
      </c>
      <c r="I21">
        <v>73</v>
      </c>
      <c r="J21">
        <v>210</v>
      </c>
      <c r="K21" s="1" t="s">
        <v>252</v>
      </c>
      <c r="L21">
        <v>38</v>
      </c>
      <c r="M21">
        <v>3564</v>
      </c>
      <c r="N21">
        <v>40</v>
      </c>
    </row>
    <row r="22" spans="1:14" x14ac:dyDescent="0.35">
      <c r="A22" t="str">
        <f>LOWER(Table1[[#This Row],[position]]) &amp; "_" &amp; TEXT(DATE(Table1[[#This Row],[season]], 1, 1), "yyyy") &amp; "_" &amp; LOWER(_xlfn.TEXTAFTER(Table1[[#This Row],[player_name]], " ", -1))</f>
        <v>qb_2012_tannehill</v>
      </c>
      <c r="B22" s="1" t="s">
        <v>244</v>
      </c>
      <c r="C22">
        <v>2012</v>
      </c>
      <c r="D22" s="1" t="s">
        <v>27</v>
      </c>
      <c r="E22" t="s">
        <v>35</v>
      </c>
      <c r="F22" cm="1">
        <f t="array" ref="F22">VALUE(INDEX(_xlfn.TEXTSPLIT(Table1[[#This Row],[player_id]], "_"), 2)) / Table1[[#This Row],[season]]</f>
        <v>1</v>
      </c>
      <c r="G22" s="1">
        <v>8</v>
      </c>
      <c r="H22" s="1">
        <v>24</v>
      </c>
      <c r="I22">
        <v>76</v>
      </c>
      <c r="J22">
        <v>217</v>
      </c>
      <c r="K22" s="1" t="s">
        <v>224</v>
      </c>
      <c r="L22">
        <v>50</v>
      </c>
      <c r="M22">
        <v>5450</v>
      </c>
      <c r="N22">
        <v>42</v>
      </c>
    </row>
    <row r="23" spans="1:14" x14ac:dyDescent="0.35">
      <c r="A23" t="str">
        <f>LOWER(Table1[[#This Row],[position]]) &amp; "_" &amp; TEXT(DATE(Table1[[#This Row],[season]], 1, 1), "yyyy") &amp; "_" &amp; LOWER(_xlfn.TEXTAFTER(Table1[[#This Row],[player_name]], " ", -1))</f>
        <v>wr_2012_floyd</v>
      </c>
      <c r="B23" s="1" t="s">
        <v>245</v>
      </c>
      <c r="C23">
        <v>2012</v>
      </c>
      <c r="D23" s="1" t="s">
        <v>28</v>
      </c>
      <c r="E23" t="s">
        <v>109</v>
      </c>
      <c r="F23" cm="1">
        <f t="array" ref="F23">VALUE(INDEX(_xlfn.TEXTSPLIT(Table1[[#This Row],[player_id]], "_"), 2)) / Table1[[#This Row],[season]]</f>
        <v>1</v>
      </c>
      <c r="G23" s="1">
        <v>13</v>
      </c>
      <c r="H23" s="1">
        <v>22</v>
      </c>
      <c r="I23">
        <v>75</v>
      </c>
      <c r="J23">
        <v>220</v>
      </c>
      <c r="K23" s="1" t="s">
        <v>68</v>
      </c>
      <c r="L23">
        <v>43</v>
      </c>
      <c r="M23">
        <v>3686</v>
      </c>
      <c r="N23">
        <v>37</v>
      </c>
    </row>
    <row r="24" spans="1:14" x14ac:dyDescent="0.35">
      <c r="A24" t="str">
        <f>LOWER(Table1[[#This Row],[position]]) &amp; "_" &amp; TEXT(DATE(Table1[[#This Row],[season]], 1, 1), "yyyy") &amp; "_" &amp; LOWER(_xlfn.TEXTAFTER(Table1[[#This Row],[player_name]], " ", -1))</f>
        <v>wr_2012_wright</v>
      </c>
      <c r="B24" s="1" t="s">
        <v>246</v>
      </c>
      <c r="C24">
        <v>2012</v>
      </c>
      <c r="D24" s="1" t="s">
        <v>28</v>
      </c>
      <c r="E24" t="s">
        <v>31</v>
      </c>
      <c r="F24" cm="1">
        <f t="array" ref="F24">VALUE(INDEX(_xlfn.TEXTSPLIT(Table1[[#This Row],[player_id]], "_"), 2)) / Table1[[#This Row],[season]]</f>
        <v>1</v>
      </c>
      <c r="G24" s="1">
        <v>20</v>
      </c>
      <c r="H24" s="1">
        <v>22</v>
      </c>
      <c r="I24">
        <v>70</v>
      </c>
      <c r="J24">
        <v>185</v>
      </c>
      <c r="K24" s="1" t="s">
        <v>67</v>
      </c>
      <c r="L24">
        <v>50</v>
      </c>
      <c r="M24">
        <v>4004</v>
      </c>
      <c r="N24">
        <v>30</v>
      </c>
    </row>
    <row r="25" spans="1:14" x14ac:dyDescent="0.35">
      <c r="A25" t="str">
        <f>LOWER(Table1[[#This Row],[position]]) &amp; "_" &amp; TEXT(DATE(Table1[[#This Row],[season]], 1, 1), "yyyy") &amp; "_" &amp; LOWER(_xlfn.TEXTAFTER(Table1[[#This Row],[player_name]], " ", -1))</f>
        <v>qb_2012_weeden</v>
      </c>
      <c r="B25" s="1" t="s">
        <v>247</v>
      </c>
      <c r="C25">
        <v>2012</v>
      </c>
      <c r="D25" s="1" t="s">
        <v>27</v>
      </c>
      <c r="E25" t="s">
        <v>59</v>
      </c>
      <c r="F25" cm="1">
        <f t="array" ref="F25">VALUE(INDEX(_xlfn.TEXTSPLIT(Table1[[#This Row],[player_id]], "_"), 2)) / Table1[[#This Row],[season]]</f>
        <v>1</v>
      </c>
      <c r="G25" s="1">
        <v>22</v>
      </c>
      <c r="H25" s="1">
        <v>28</v>
      </c>
      <c r="I25">
        <v>75</v>
      </c>
      <c r="J25">
        <v>227</v>
      </c>
      <c r="K25" s="1" t="s">
        <v>252</v>
      </c>
      <c r="L25">
        <v>30</v>
      </c>
      <c r="M25">
        <v>9260</v>
      </c>
      <c r="N25">
        <v>75</v>
      </c>
    </row>
    <row r="26" spans="1:14" x14ac:dyDescent="0.35">
      <c r="A26" t="str">
        <f>LOWER(Table1[[#This Row],[position]]) &amp; "_" &amp; TEXT(DATE(Table1[[#This Row],[season]], 1, 1), "yyyy") &amp; "_" &amp; LOWER(_xlfn.TEXTAFTER(Table1[[#This Row],[player_name]], " ", -1))</f>
        <v>wr_2012_jenkins</v>
      </c>
      <c r="B26" s="1" t="s">
        <v>248</v>
      </c>
      <c r="C26">
        <v>2012</v>
      </c>
      <c r="D26" s="1" t="s">
        <v>28</v>
      </c>
      <c r="E26" t="s">
        <v>144</v>
      </c>
      <c r="F26" cm="1">
        <f t="array" ref="F26">VALUE(INDEX(_xlfn.TEXTSPLIT(Table1[[#This Row],[player_id]], "_"), 2)) / Table1[[#This Row],[season]]</f>
        <v>1</v>
      </c>
      <c r="G26" s="1">
        <v>30</v>
      </c>
      <c r="H26" s="1">
        <v>22</v>
      </c>
      <c r="I26">
        <v>72</v>
      </c>
      <c r="J26">
        <v>192</v>
      </c>
      <c r="K26" s="1" t="s">
        <v>253</v>
      </c>
      <c r="L26">
        <v>46</v>
      </c>
      <c r="M26">
        <v>2432</v>
      </c>
      <c r="N26">
        <v>19</v>
      </c>
    </row>
    <row r="27" spans="1:14" x14ac:dyDescent="0.35">
      <c r="A27" t="str">
        <f>LOWER(Table1[[#This Row],[position]]) &amp; "_" &amp; TEXT(DATE(Table1[[#This Row],[season]], 1, 1), "yyyy") &amp; "_" &amp; LOWER(_xlfn.TEXTAFTER(Table1[[#This Row],[player_name]], " ", -1))</f>
        <v>rb_2012_martin</v>
      </c>
      <c r="B27" s="1" t="s">
        <v>249</v>
      </c>
      <c r="C27">
        <v>2012</v>
      </c>
      <c r="D27" s="1" t="s">
        <v>29</v>
      </c>
      <c r="E27" t="s">
        <v>30</v>
      </c>
      <c r="F27" cm="1">
        <f t="array" ref="F27">VALUE(INDEX(_xlfn.TEXTSPLIT(Table1[[#This Row],[player_id]], "_"), 2)) / Table1[[#This Row],[season]]</f>
        <v>1</v>
      </c>
      <c r="G27" s="1">
        <v>31</v>
      </c>
      <c r="H27" s="1">
        <v>23</v>
      </c>
      <c r="I27">
        <v>69</v>
      </c>
      <c r="J27">
        <v>210</v>
      </c>
      <c r="K27" s="1" t="s">
        <v>211</v>
      </c>
      <c r="L27">
        <v>52</v>
      </c>
      <c r="M27">
        <v>3431</v>
      </c>
      <c r="N27">
        <v>43</v>
      </c>
    </row>
    <row r="28" spans="1:14" x14ac:dyDescent="0.35">
      <c r="A28" t="str">
        <f>LOWER(Table1[[#This Row],[position]]) &amp; "_" &amp; TEXT(DATE(Table1[[#This Row],[season]], 1, 1), "yyyy") &amp; "_" &amp; LOWER(_xlfn.TEXTAFTER(Table1[[#This Row],[player_name]], " ", -1))</f>
        <v>rb_2012_wilson</v>
      </c>
      <c r="B28" s="1" t="s">
        <v>250</v>
      </c>
      <c r="C28">
        <v>2012</v>
      </c>
      <c r="D28" s="1" t="s">
        <v>29</v>
      </c>
      <c r="E28" t="s">
        <v>88</v>
      </c>
      <c r="F28" cm="1">
        <f t="array" ref="F28">VALUE(INDEX(_xlfn.TEXTSPLIT(Table1[[#This Row],[player_id]], "_"), 2)) / Table1[[#This Row],[season]]</f>
        <v>1</v>
      </c>
      <c r="G28" s="1">
        <v>32</v>
      </c>
      <c r="H28" s="1">
        <v>21</v>
      </c>
      <c r="I28">
        <v>70</v>
      </c>
      <c r="J28">
        <v>205</v>
      </c>
      <c r="K28" s="1" t="s">
        <v>254</v>
      </c>
      <c r="L28">
        <v>40</v>
      </c>
      <c r="M28">
        <v>2662</v>
      </c>
      <c r="N28">
        <v>18</v>
      </c>
    </row>
    <row r="29" spans="1:14" x14ac:dyDescent="0.35">
      <c r="A29" t="str">
        <f>LOWER(Table1[[#This Row],[position]]) &amp; "_" &amp; TEXT(DATE(Table1[[#This Row],[season]], 1, 1), "yyyy") &amp; "_" &amp; LOWER(_xlfn.TEXTAFTER(Table1[[#This Row],[player_name]], " ", -1))</f>
        <v>wr_2013_austin</v>
      </c>
      <c r="B29" s="1" t="s">
        <v>235</v>
      </c>
      <c r="C29">
        <v>2013</v>
      </c>
      <c r="D29" s="1" t="s">
        <v>28</v>
      </c>
      <c r="E29" t="s">
        <v>34</v>
      </c>
      <c r="F29" cm="1">
        <f t="array" ref="F29">VALUE(INDEX(_xlfn.TEXTSPLIT(Table1[[#This Row],[player_id]], "_"), 2)) / Table1[[#This Row],[season]]</f>
        <v>1</v>
      </c>
      <c r="G29" s="1">
        <v>8</v>
      </c>
      <c r="H29" s="1">
        <v>23</v>
      </c>
      <c r="I29">
        <v>68</v>
      </c>
      <c r="J29">
        <v>179</v>
      </c>
      <c r="K29" s="1" t="s">
        <v>43</v>
      </c>
      <c r="L29">
        <v>52</v>
      </c>
      <c r="M29">
        <v>3413</v>
      </c>
      <c r="N29">
        <v>29</v>
      </c>
    </row>
    <row r="30" spans="1:14" x14ac:dyDescent="0.35">
      <c r="A30" t="str">
        <f>LOWER(Table1[[#This Row],[position]]) &amp; "_" &amp; TEXT(DATE(Table1[[#This Row],[season]], 1, 1), "yyyy") &amp; "_" &amp; LOWER(_xlfn.TEXTAFTER(Table1[[#This Row],[player_name]], " ", -1))</f>
        <v>qb_2013_manuel</v>
      </c>
      <c r="B30" s="1" t="s">
        <v>236</v>
      </c>
      <c r="C30">
        <v>2013</v>
      </c>
      <c r="D30" s="1" t="s">
        <v>27</v>
      </c>
      <c r="E30" t="s">
        <v>108</v>
      </c>
      <c r="F30" cm="1">
        <f t="array" ref="F30">VALUE(INDEX(_xlfn.TEXTSPLIT(Table1[[#This Row],[player_id]], "_"), 2)) / Table1[[#This Row],[season]]</f>
        <v>1</v>
      </c>
      <c r="G30" s="1">
        <v>16</v>
      </c>
      <c r="H30" s="1">
        <v>23</v>
      </c>
      <c r="I30">
        <v>76</v>
      </c>
      <c r="J30">
        <v>237</v>
      </c>
      <c r="K30" s="1" t="s">
        <v>40</v>
      </c>
      <c r="L30">
        <v>43</v>
      </c>
      <c r="M30">
        <v>7741</v>
      </c>
      <c r="N30">
        <v>47</v>
      </c>
    </row>
    <row r="31" spans="1:14" x14ac:dyDescent="0.35">
      <c r="A31" t="str">
        <f>LOWER(Table1[[#This Row],[position]]) &amp; "_" &amp; TEXT(DATE(Table1[[#This Row],[season]], 1, 1), "yyyy") &amp; "_" &amp; LOWER(_xlfn.TEXTAFTER(Table1[[#This Row],[player_name]], " ", -1))</f>
        <v>te_2013_eifert</v>
      </c>
      <c r="B31" s="1" t="s">
        <v>237</v>
      </c>
      <c r="C31">
        <v>2013</v>
      </c>
      <c r="D31" s="1" t="s">
        <v>83</v>
      </c>
      <c r="E31" t="s">
        <v>86</v>
      </c>
      <c r="F31" cm="1">
        <f t="array" ref="F31">VALUE(INDEX(_xlfn.TEXTSPLIT(Table1[[#This Row],[player_id]], "_"), 2)) / Table1[[#This Row],[season]]</f>
        <v>1</v>
      </c>
      <c r="G31" s="1">
        <v>21</v>
      </c>
      <c r="H31" s="1">
        <v>22</v>
      </c>
      <c r="I31">
        <v>78</v>
      </c>
      <c r="J31">
        <v>255</v>
      </c>
      <c r="K31" s="1" t="s">
        <v>68</v>
      </c>
      <c r="L31">
        <v>37</v>
      </c>
      <c r="M31">
        <v>1840</v>
      </c>
      <c r="N31">
        <v>11</v>
      </c>
    </row>
    <row r="32" spans="1:14" x14ac:dyDescent="0.35">
      <c r="A32" t="str">
        <f>LOWER(Table1[[#This Row],[position]]) &amp; "_" &amp; TEXT(DATE(Table1[[#This Row],[season]], 1, 1), "yyyy") &amp; "_" &amp; LOWER(_xlfn.TEXTAFTER(Table1[[#This Row],[player_name]], " ", -1))</f>
        <v>wr_2013_hopkins</v>
      </c>
      <c r="B32" s="1" t="s">
        <v>238</v>
      </c>
      <c r="C32">
        <v>2013</v>
      </c>
      <c r="D32" s="1" t="s">
        <v>28</v>
      </c>
      <c r="E32" t="s">
        <v>60</v>
      </c>
      <c r="F32" cm="1">
        <f t="array" ref="F32">VALUE(INDEX(_xlfn.TEXTSPLIT(Table1[[#This Row],[player_id]], "_"), 2)) / Table1[[#This Row],[season]]</f>
        <v>1</v>
      </c>
      <c r="G32" s="1">
        <v>27</v>
      </c>
      <c r="H32" s="1">
        <v>21</v>
      </c>
      <c r="I32">
        <v>73</v>
      </c>
      <c r="J32">
        <v>210</v>
      </c>
      <c r="K32" s="1" t="s">
        <v>92</v>
      </c>
      <c r="L32">
        <v>39</v>
      </c>
      <c r="M32">
        <v>3020</v>
      </c>
      <c r="N32">
        <v>27</v>
      </c>
    </row>
    <row r="33" spans="1:14" x14ac:dyDescent="0.35">
      <c r="A33" t="str">
        <f>LOWER(Table1[[#This Row],[position]]) &amp; "_" &amp; TEXT(DATE(Table1[[#This Row],[season]], 1, 1), "yyyy") &amp; "_" &amp; LOWER(_xlfn.TEXTAFTER(Table1[[#This Row],[player_name]], " ", -1))</f>
        <v>wr_2013_patterson</v>
      </c>
      <c r="B33" s="1" t="s">
        <v>239</v>
      </c>
      <c r="C33">
        <v>2013</v>
      </c>
      <c r="D33" s="1" t="s">
        <v>28</v>
      </c>
      <c r="E33" t="s">
        <v>62</v>
      </c>
      <c r="F33" cm="1">
        <f t="array" ref="F33">VALUE(INDEX(_xlfn.TEXTSPLIT(Table1[[#This Row],[player_id]], "_"), 2)) / Table1[[#This Row],[season]]</f>
        <v>1</v>
      </c>
      <c r="G33" s="1">
        <v>29</v>
      </c>
      <c r="H33" s="1">
        <v>22</v>
      </c>
      <c r="I33">
        <v>74</v>
      </c>
      <c r="J33">
        <v>220</v>
      </c>
      <c r="K33" s="1" t="s">
        <v>240</v>
      </c>
      <c r="L33">
        <v>12</v>
      </c>
      <c r="M33">
        <v>778</v>
      </c>
      <c r="N33">
        <v>5</v>
      </c>
    </row>
    <row r="34" spans="1:14" x14ac:dyDescent="0.35">
      <c r="A34" t="str">
        <f>LOWER(Table1[[#This Row],[position]]) &amp; "_" &amp; TEXT(DATE(Table1[[#This Row],[season]], 1, 1), "yyyy") &amp; "_" &amp; LOWER(_xlfn.TEXTAFTER(Table1[[#This Row],[player_name]], " ", -1))</f>
        <v>qb_2014_bortles</v>
      </c>
      <c r="B34" s="1" t="s">
        <v>225</v>
      </c>
      <c r="C34">
        <v>2014</v>
      </c>
      <c r="D34" s="1" t="s">
        <v>27</v>
      </c>
      <c r="E34" t="s">
        <v>84</v>
      </c>
      <c r="F34" cm="1">
        <f t="array" ref="F34">VALUE(INDEX(_xlfn.TEXTSPLIT(Table1[[#This Row],[player_id]], "_"), 2)) / Table1[[#This Row],[season]]</f>
        <v>1</v>
      </c>
      <c r="G34" s="1">
        <v>3</v>
      </c>
      <c r="H34" s="1">
        <v>22</v>
      </c>
      <c r="I34">
        <v>77</v>
      </c>
      <c r="J34">
        <v>236</v>
      </c>
      <c r="K34" s="1" t="s">
        <v>48</v>
      </c>
      <c r="L34">
        <v>37</v>
      </c>
      <c r="M34">
        <v>7598</v>
      </c>
      <c r="N34">
        <v>56</v>
      </c>
    </row>
    <row r="35" spans="1:14" x14ac:dyDescent="0.35">
      <c r="A35" t="str">
        <f>LOWER(Table1[[#This Row],[position]]) &amp; "_" &amp; TEXT(DATE(Table1[[#This Row],[season]], 1, 1), "yyyy") &amp; "_" &amp; LOWER(_xlfn.TEXTAFTER(Table1[[#This Row],[player_name]], " ", -1))</f>
        <v>wr_2014_watkins</v>
      </c>
      <c r="B35" s="1" t="s">
        <v>226</v>
      </c>
      <c r="C35">
        <v>2014</v>
      </c>
      <c r="D35" s="1" t="s">
        <v>28</v>
      </c>
      <c r="E35" t="s">
        <v>108</v>
      </c>
      <c r="F35" cm="1">
        <f t="array" ref="F35">VALUE(INDEX(_xlfn.TEXTSPLIT(Table1[[#This Row],[player_id]], "_"), 2)) / Table1[[#This Row],[season]]</f>
        <v>1</v>
      </c>
      <c r="G35" s="1">
        <v>4</v>
      </c>
      <c r="H35" s="1">
        <v>21</v>
      </c>
      <c r="I35">
        <v>73</v>
      </c>
      <c r="J35">
        <v>211</v>
      </c>
      <c r="K35" s="1" t="s">
        <v>92</v>
      </c>
      <c r="L35">
        <v>36</v>
      </c>
      <c r="M35">
        <v>3391</v>
      </c>
      <c r="N35">
        <v>27</v>
      </c>
    </row>
    <row r="36" spans="1:14" x14ac:dyDescent="0.35">
      <c r="A36" t="str">
        <f>LOWER(Table1[[#This Row],[position]]) &amp; "_" &amp; TEXT(DATE(Table1[[#This Row],[season]], 1, 1), "yyyy") &amp; "_" &amp; LOWER(_xlfn.TEXTAFTER(Table1[[#This Row],[player_name]], " ", -1))</f>
        <v>wr_2014_evans</v>
      </c>
      <c r="B36" s="1" t="s">
        <v>227</v>
      </c>
      <c r="C36">
        <v>2014</v>
      </c>
      <c r="D36" s="1" t="s">
        <v>28</v>
      </c>
      <c r="E36" t="s">
        <v>30</v>
      </c>
      <c r="F36" cm="1">
        <f t="array" ref="F36">VALUE(INDEX(_xlfn.TEXTSPLIT(Table1[[#This Row],[player_id]], "_"), 2)) / Table1[[#This Row],[season]]</f>
        <v>1</v>
      </c>
      <c r="G36" s="1">
        <v>7</v>
      </c>
      <c r="H36" s="1">
        <v>21</v>
      </c>
      <c r="I36">
        <v>77</v>
      </c>
      <c r="J36">
        <v>231</v>
      </c>
      <c r="K36" s="1" t="s">
        <v>224</v>
      </c>
      <c r="L36">
        <v>26</v>
      </c>
      <c r="M36">
        <v>2499</v>
      </c>
      <c r="N36">
        <v>17</v>
      </c>
    </row>
    <row r="37" spans="1:14" x14ac:dyDescent="0.35">
      <c r="A37" t="str">
        <f>LOWER(Table1[[#This Row],[position]]) &amp; "_" &amp; TEXT(DATE(Table1[[#This Row],[season]], 1, 1), "yyyy") &amp; "_" &amp; LOWER(_xlfn.TEXTAFTER(Table1[[#This Row],[player_name]], " ", -1))</f>
        <v>te_2014_ebron</v>
      </c>
      <c r="B37" s="1" t="s">
        <v>228</v>
      </c>
      <c r="C37">
        <v>2014</v>
      </c>
      <c r="D37" s="1" t="s">
        <v>83</v>
      </c>
      <c r="E37" t="s">
        <v>128</v>
      </c>
      <c r="F37" cm="1">
        <f t="array" ref="F37">VALUE(INDEX(_xlfn.TEXTSPLIT(Table1[[#This Row],[player_id]], "_"), 2)) / Table1[[#This Row],[season]]</f>
        <v>1</v>
      </c>
      <c r="G37" s="1">
        <v>10</v>
      </c>
      <c r="H37" s="1">
        <v>21</v>
      </c>
      <c r="I37">
        <v>76</v>
      </c>
      <c r="J37">
        <v>253</v>
      </c>
      <c r="K37" s="1" t="s">
        <v>89</v>
      </c>
      <c r="L37">
        <v>34</v>
      </c>
      <c r="M37">
        <v>1805</v>
      </c>
      <c r="N37">
        <v>8</v>
      </c>
    </row>
    <row r="38" spans="1:14" x14ac:dyDescent="0.35">
      <c r="A38" t="str">
        <f>LOWER(Table1[[#This Row],[position]]) &amp; "_" &amp; TEXT(DATE(Table1[[#This Row],[season]], 1, 1), "yyyy") &amp; "_" &amp; LOWER(_xlfn.TEXTAFTER(Table1[[#This Row],[player_name]], " ", -1))</f>
        <v>wr_2014_beckham-jr.</v>
      </c>
      <c r="B38" s="1" t="s">
        <v>233</v>
      </c>
      <c r="C38">
        <v>2014</v>
      </c>
      <c r="D38" s="1" t="s">
        <v>28</v>
      </c>
      <c r="E38" t="s">
        <v>88</v>
      </c>
      <c r="F38" cm="1">
        <f t="array" ref="F38">VALUE(INDEX(_xlfn.TEXTSPLIT(Table1[[#This Row],[player_id]], "_"), 2)) / Table1[[#This Row],[season]]</f>
        <v>1</v>
      </c>
      <c r="G38" s="1">
        <v>12</v>
      </c>
      <c r="H38" s="1">
        <v>21</v>
      </c>
      <c r="I38">
        <v>71</v>
      </c>
      <c r="J38">
        <v>200</v>
      </c>
      <c r="K38" s="1" t="s">
        <v>90</v>
      </c>
      <c r="L38">
        <v>40</v>
      </c>
      <c r="M38">
        <v>2340</v>
      </c>
      <c r="N38">
        <v>12</v>
      </c>
    </row>
    <row r="39" spans="1:14" x14ac:dyDescent="0.35">
      <c r="A39" t="str">
        <f>LOWER(Table1[[#This Row],[position]]) &amp; "_" &amp; TEXT(DATE(Table1[[#This Row],[season]], 1, 1), "yyyy") &amp; "_" &amp; LOWER(_xlfn.TEXTAFTER(Table1[[#This Row],[player_name]], " ", -1))</f>
        <v>wr_2014_cooks</v>
      </c>
      <c r="B39" s="1" t="s">
        <v>229</v>
      </c>
      <c r="C39">
        <v>2014</v>
      </c>
      <c r="D39" s="1" t="s">
        <v>28</v>
      </c>
      <c r="E39" t="s">
        <v>172</v>
      </c>
      <c r="F39" cm="1">
        <f t="array" ref="F39">VALUE(INDEX(_xlfn.TEXTSPLIT(Table1[[#This Row],[player_id]], "_"), 2)) / Table1[[#This Row],[season]]</f>
        <v>1</v>
      </c>
      <c r="G39" s="1">
        <v>20</v>
      </c>
      <c r="H39" s="1">
        <v>20</v>
      </c>
      <c r="I39">
        <v>70</v>
      </c>
      <c r="J39">
        <v>190</v>
      </c>
      <c r="K39" s="1" t="s">
        <v>234</v>
      </c>
      <c r="L39">
        <v>38</v>
      </c>
      <c r="M39">
        <v>3272</v>
      </c>
      <c r="N39">
        <v>24</v>
      </c>
    </row>
    <row r="40" spans="1:14" x14ac:dyDescent="0.35">
      <c r="A40" t="str">
        <f>LOWER(Table1[[#This Row],[position]]) &amp; "_" &amp; TEXT(DATE(Table1[[#This Row],[season]], 1, 1), "yyyy") &amp; "_" &amp; LOWER(_xlfn.TEXTAFTER(Table1[[#This Row],[player_name]], " ", -1))</f>
        <v>qb_2014_manziel</v>
      </c>
      <c r="B40" s="1" t="s">
        <v>230</v>
      </c>
      <c r="C40">
        <v>2014</v>
      </c>
      <c r="D40" s="1" t="s">
        <v>27</v>
      </c>
      <c r="E40" t="s">
        <v>59</v>
      </c>
      <c r="F40" cm="1">
        <f t="array" ref="F40">VALUE(INDEX(_xlfn.TEXTSPLIT(Table1[[#This Row],[player_id]], "_"), 2)) / Table1[[#This Row],[season]]</f>
        <v>1</v>
      </c>
      <c r="G40" s="1">
        <v>22</v>
      </c>
      <c r="H40" s="1">
        <v>21</v>
      </c>
      <c r="I40">
        <v>72</v>
      </c>
      <c r="J40">
        <v>207</v>
      </c>
      <c r="K40" s="1" t="s">
        <v>224</v>
      </c>
      <c r="L40">
        <v>26</v>
      </c>
      <c r="M40">
        <v>7820</v>
      </c>
      <c r="N40">
        <v>63</v>
      </c>
    </row>
    <row r="41" spans="1:14" x14ac:dyDescent="0.35">
      <c r="A41" t="str">
        <f>LOWER(Table1[[#This Row],[position]]) &amp; "_" &amp; TEXT(DATE(Table1[[#This Row],[season]], 1, 1), "yyyy") &amp; "_" &amp; LOWER(_xlfn.TEXTAFTER(Table1[[#This Row],[player_name]], " ", -1))</f>
        <v>wr_2014_benjamin</v>
      </c>
      <c r="B41" s="1" t="s">
        <v>231</v>
      </c>
      <c r="C41">
        <v>2014</v>
      </c>
      <c r="D41" s="1" t="s">
        <v>28</v>
      </c>
      <c r="E41" t="s">
        <v>85</v>
      </c>
      <c r="F41" cm="1">
        <f t="array" ref="F41">VALUE(INDEX(_xlfn.TEXTSPLIT(Table1[[#This Row],[player_id]], "_"), 2)) / Table1[[#This Row],[season]]</f>
        <v>1</v>
      </c>
      <c r="G41" s="1">
        <v>28</v>
      </c>
      <c r="H41" s="1">
        <v>23</v>
      </c>
      <c r="I41">
        <v>77</v>
      </c>
      <c r="J41">
        <v>245</v>
      </c>
      <c r="K41" s="1" t="s">
        <v>40</v>
      </c>
      <c r="L41">
        <v>28</v>
      </c>
      <c r="M41">
        <v>1506</v>
      </c>
      <c r="N41">
        <v>19</v>
      </c>
    </row>
    <row r="42" spans="1:14" x14ac:dyDescent="0.35">
      <c r="A42" t="str">
        <f>LOWER(Table1[[#This Row],[position]]) &amp; "_" &amp; TEXT(DATE(Table1[[#This Row],[season]], 1, 1), "yyyy") &amp; "_" &amp; LOWER(_xlfn.TEXTAFTER(Table1[[#This Row],[player_name]], " ", -1))</f>
        <v>qb_2014_bridgewater</v>
      </c>
      <c r="B42" s="1" t="s">
        <v>232</v>
      </c>
      <c r="C42">
        <v>2014</v>
      </c>
      <c r="D42" s="1" t="s">
        <v>27</v>
      </c>
      <c r="E42" t="s">
        <v>62</v>
      </c>
      <c r="F42" cm="1">
        <f t="array" ref="F42">VALUE(INDEX(_xlfn.TEXTSPLIT(Table1[[#This Row],[player_id]], "_"), 2)) / Table1[[#This Row],[season]]</f>
        <v>1</v>
      </c>
      <c r="G42" s="1">
        <v>32</v>
      </c>
      <c r="H42" s="1">
        <v>21</v>
      </c>
      <c r="I42">
        <v>74</v>
      </c>
      <c r="J42">
        <v>210</v>
      </c>
      <c r="K42" s="1" t="s">
        <v>45</v>
      </c>
      <c r="L42">
        <v>39</v>
      </c>
      <c r="M42">
        <v>9817</v>
      </c>
      <c r="N42">
        <v>72</v>
      </c>
    </row>
    <row r="43" spans="1:14" x14ac:dyDescent="0.35">
      <c r="A43" t="str">
        <f>LOWER(Table1[[#This Row],[position]]) &amp; "_" &amp; TEXT(DATE(Table1[[#This Row],[season]], 1, 1), "yyyy") &amp; "_" &amp; LOWER(_xlfn.TEXTAFTER(Table1[[#This Row],[player_name]], " ", -1))</f>
        <v>qb_2015_winston</v>
      </c>
      <c r="B43" s="1" t="s">
        <v>17</v>
      </c>
      <c r="C43">
        <v>2015</v>
      </c>
      <c r="D43" s="1" t="s">
        <v>27</v>
      </c>
      <c r="E43" t="s">
        <v>30</v>
      </c>
      <c r="F43" cm="1">
        <f t="array" ref="F43">VALUE(INDEX(_xlfn.TEXTSPLIT(Table1[[#This Row],[player_id]], "_"), 2)) / Table1[[#This Row],[season]]</f>
        <v>1</v>
      </c>
      <c r="G43">
        <v>1</v>
      </c>
      <c r="H43" s="1">
        <v>21</v>
      </c>
      <c r="I43">
        <v>76</v>
      </c>
      <c r="J43">
        <v>231</v>
      </c>
      <c r="K43" s="1" t="s">
        <v>40</v>
      </c>
      <c r="L43">
        <v>27</v>
      </c>
      <c r="M43">
        <v>7964</v>
      </c>
      <c r="N43">
        <v>65</v>
      </c>
    </row>
    <row r="44" spans="1:14" x14ac:dyDescent="0.35">
      <c r="A44" t="str">
        <f>LOWER(Table1[[#This Row],[position]]) &amp; "_" &amp; TEXT(DATE(Table1[[#This Row],[season]], 1, 1), "yyyy") &amp; "_" &amp; LOWER(_xlfn.TEXTAFTER(Table1[[#This Row],[player_name]], " ", -1))</f>
        <v>qb_2015_mariota</v>
      </c>
      <c r="B44" s="1" t="s">
        <v>18</v>
      </c>
      <c r="C44">
        <v>2015</v>
      </c>
      <c r="D44" s="1" t="s">
        <v>27</v>
      </c>
      <c r="E44" t="s">
        <v>31</v>
      </c>
      <c r="F44" cm="1">
        <f t="array" ref="F44">VALUE(INDEX(_xlfn.TEXTSPLIT(Table1[[#This Row],[player_id]], "_"), 2)) / Table1[[#This Row],[season]]</f>
        <v>1</v>
      </c>
      <c r="G44">
        <v>2</v>
      </c>
      <c r="H44" s="1">
        <v>21</v>
      </c>
      <c r="I44">
        <v>76</v>
      </c>
      <c r="J44">
        <v>222</v>
      </c>
      <c r="K44" s="1" t="s">
        <v>41</v>
      </c>
      <c r="L44">
        <v>41</v>
      </c>
      <c r="M44">
        <v>10796</v>
      </c>
      <c r="N44">
        <v>105</v>
      </c>
    </row>
    <row r="45" spans="1:14" x14ac:dyDescent="0.35">
      <c r="A45" t="str">
        <f>LOWER(Table1[[#This Row],[position]]) &amp; "_" &amp; TEXT(DATE(Table1[[#This Row],[season]], 1, 1), "yyyy") &amp; "_" &amp; LOWER(_xlfn.TEXTAFTER(Table1[[#This Row],[player_name]], " ", -1))</f>
        <v>wr_2015_cooper</v>
      </c>
      <c r="B45" s="1" t="s">
        <v>19</v>
      </c>
      <c r="C45">
        <v>2015</v>
      </c>
      <c r="D45" s="1" t="s">
        <v>28</v>
      </c>
      <c r="E45" t="s">
        <v>32</v>
      </c>
      <c r="F45" cm="1">
        <f t="array" ref="F45">VALUE(INDEX(_xlfn.TEXTSPLIT(Table1[[#This Row],[player_id]], "_"), 2)) / Table1[[#This Row],[season]]</f>
        <v>1</v>
      </c>
      <c r="G45">
        <v>4</v>
      </c>
      <c r="H45" s="1">
        <v>21</v>
      </c>
      <c r="I45">
        <v>73</v>
      </c>
      <c r="J45">
        <v>211</v>
      </c>
      <c r="K45" s="1" t="s">
        <v>42</v>
      </c>
      <c r="L45">
        <v>39</v>
      </c>
      <c r="M45">
        <v>3463</v>
      </c>
      <c r="N45">
        <v>31</v>
      </c>
    </row>
    <row r="46" spans="1:14" x14ac:dyDescent="0.35">
      <c r="A46" t="str">
        <f>LOWER(Table1[[#This Row],[position]]) &amp; "_" &amp; TEXT(DATE(Table1[[#This Row],[season]], 1, 1), "yyyy") &amp; "_" &amp; LOWER(_xlfn.TEXTAFTER(Table1[[#This Row],[player_name]], " ", -1))</f>
        <v>wr_2015_white</v>
      </c>
      <c r="B46" s="1" t="s">
        <v>20</v>
      </c>
      <c r="C46">
        <v>2015</v>
      </c>
      <c r="D46" s="1" t="s">
        <v>28</v>
      </c>
      <c r="E46" t="s">
        <v>33</v>
      </c>
      <c r="F46" cm="1">
        <f t="array" ref="F46">VALUE(INDEX(_xlfn.TEXTSPLIT(Table1[[#This Row],[player_id]], "_"), 2)) / Table1[[#This Row],[season]]</f>
        <v>1</v>
      </c>
      <c r="G46" s="1">
        <v>7</v>
      </c>
      <c r="H46" s="1">
        <v>23</v>
      </c>
      <c r="I46">
        <v>75</v>
      </c>
      <c r="J46">
        <v>216</v>
      </c>
      <c r="K46" s="1" t="s">
        <v>43</v>
      </c>
      <c r="L46">
        <v>23</v>
      </c>
      <c r="M46">
        <v>1954</v>
      </c>
      <c r="N46">
        <v>15</v>
      </c>
    </row>
    <row r="47" spans="1:14" x14ac:dyDescent="0.35">
      <c r="A47" t="str">
        <f>LOWER(Table1[[#This Row],[position]]) &amp; "_" &amp; TEXT(DATE(Table1[[#This Row],[season]], 1, 1), "yyyy") &amp; "_" &amp; LOWER(_xlfn.TEXTAFTER(Table1[[#This Row],[player_name]], " ", -1))</f>
        <v>rb_2015_gurley</v>
      </c>
      <c r="B47" s="1" t="s">
        <v>21</v>
      </c>
      <c r="C47">
        <v>2015</v>
      </c>
      <c r="D47" s="1" t="s">
        <v>29</v>
      </c>
      <c r="E47" t="s">
        <v>34</v>
      </c>
      <c r="F47" cm="1">
        <f t="array" ref="F47">VALUE(INDEX(_xlfn.TEXTSPLIT(Table1[[#This Row],[player_id]], "_"), 2)) / Table1[[#This Row],[season]]</f>
        <v>1</v>
      </c>
      <c r="G47" s="1">
        <v>10</v>
      </c>
      <c r="H47" s="1">
        <v>21</v>
      </c>
      <c r="I47">
        <v>73</v>
      </c>
      <c r="J47">
        <v>224</v>
      </c>
      <c r="K47" s="1" t="s">
        <v>44</v>
      </c>
      <c r="L47">
        <v>30</v>
      </c>
      <c r="M47">
        <v>3285</v>
      </c>
      <c r="N47">
        <v>36</v>
      </c>
    </row>
    <row r="48" spans="1:14" x14ac:dyDescent="0.35">
      <c r="A48" t="str">
        <f>LOWER(Table1[[#This Row],[position]]) &amp; "_" &amp; TEXT(DATE(Table1[[#This Row],[season]], 1, 1), "yyyy") &amp; "_" &amp; LOWER(_xlfn.TEXTAFTER(Table1[[#This Row],[player_name]], " ", -1))</f>
        <v>wr_2015_parker</v>
      </c>
      <c r="B48" s="1" t="s">
        <v>22</v>
      </c>
      <c r="C48">
        <v>2015</v>
      </c>
      <c r="D48" s="1" t="s">
        <v>28</v>
      </c>
      <c r="E48" t="s">
        <v>35</v>
      </c>
      <c r="F48" cm="1">
        <f t="array" ref="F48">VALUE(INDEX(_xlfn.TEXTSPLIT(Table1[[#This Row],[player_id]], "_"), 2)) / Table1[[#This Row],[season]]</f>
        <v>1</v>
      </c>
      <c r="G48" s="1">
        <v>14</v>
      </c>
      <c r="H48" s="1">
        <v>22</v>
      </c>
      <c r="I48">
        <v>75</v>
      </c>
      <c r="J48">
        <v>215</v>
      </c>
      <c r="K48" s="1" t="s">
        <v>45</v>
      </c>
      <c r="L48">
        <v>43</v>
      </c>
      <c r="M48">
        <v>2775</v>
      </c>
      <c r="N48">
        <v>33</v>
      </c>
    </row>
    <row r="49" spans="1:14" x14ac:dyDescent="0.35">
      <c r="A49" t="str">
        <f>LOWER(Table1[[#This Row],[position]]) &amp; "_" &amp; TEXT(DATE(Table1[[#This Row],[season]], 1, 1), "yyyy") &amp; "_" &amp; LOWER(_xlfn.TEXTAFTER(Table1[[#This Row],[player_name]], " ", -1))</f>
        <v>rb_2015_gordon</v>
      </c>
      <c r="B49" s="1" t="s">
        <v>23</v>
      </c>
      <c r="C49">
        <v>2015</v>
      </c>
      <c r="D49" s="1" t="s">
        <v>29</v>
      </c>
      <c r="E49" t="s">
        <v>36</v>
      </c>
      <c r="F49" cm="1">
        <f t="array" ref="F49">VALUE(INDEX(_xlfn.TEXTSPLIT(Table1[[#This Row],[player_id]], "_"), 2)) / Table1[[#This Row],[season]]</f>
        <v>1</v>
      </c>
      <c r="G49" s="1">
        <v>15</v>
      </c>
      <c r="H49" s="1">
        <v>22</v>
      </c>
      <c r="I49">
        <v>73</v>
      </c>
      <c r="J49">
        <v>215</v>
      </c>
      <c r="K49" s="1" t="s">
        <v>46</v>
      </c>
      <c r="L49">
        <v>45</v>
      </c>
      <c r="M49">
        <v>4915</v>
      </c>
      <c r="N49">
        <v>45</v>
      </c>
    </row>
    <row r="50" spans="1:14" x14ac:dyDescent="0.35">
      <c r="A50" t="str">
        <f>LOWER(Table1[[#This Row],[position]]) &amp; "_" &amp; TEXT(DATE(Table1[[#This Row],[season]], 1, 1), "yyyy") &amp; "_" &amp; LOWER(_xlfn.TEXTAFTER(Table1[[#This Row],[player_name]], " ", -1))</f>
        <v>wr_2015_agholor</v>
      </c>
      <c r="B50" s="1" t="s">
        <v>24</v>
      </c>
      <c r="C50">
        <v>2015</v>
      </c>
      <c r="D50" s="1" t="s">
        <v>28</v>
      </c>
      <c r="E50" t="s">
        <v>37</v>
      </c>
      <c r="F50" cm="1">
        <f t="array" ref="F50">VALUE(INDEX(_xlfn.TEXTSPLIT(Table1[[#This Row],[player_id]], "_"), 2)) / Table1[[#This Row],[season]]</f>
        <v>1</v>
      </c>
      <c r="G50" s="1">
        <v>20</v>
      </c>
      <c r="H50" s="1">
        <v>22</v>
      </c>
      <c r="I50">
        <v>72</v>
      </c>
      <c r="J50">
        <v>200</v>
      </c>
      <c r="K50" s="1" t="s">
        <v>47</v>
      </c>
      <c r="L50">
        <v>40</v>
      </c>
      <c r="M50">
        <v>2572</v>
      </c>
      <c r="N50">
        <v>20</v>
      </c>
    </row>
    <row r="51" spans="1:14" x14ac:dyDescent="0.35">
      <c r="A51" t="str">
        <f>LOWER(Table1[[#This Row],[position]]) &amp; "_" &amp; TEXT(DATE(Table1[[#This Row],[season]], 1, 1), "yyyy") &amp; "_" &amp; LOWER(_xlfn.TEXTAFTER(Table1[[#This Row],[player_name]], " ", -1))</f>
        <v>wr_2015_perriman</v>
      </c>
      <c r="B51" s="1" t="s">
        <v>25</v>
      </c>
      <c r="C51">
        <v>2015</v>
      </c>
      <c r="D51" s="1" t="s">
        <v>28</v>
      </c>
      <c r="E51" t="s">
        <v>38</v>
      </c>
      <c r="F51" cm="1">
        <f t="array" ref="F51">VALUE(INDEX(_xlfn.TEXTSPLIT(Table1[[#This Row],[player_id]], "_"), 2)) / Table1[[#This Row],[season]]</f>
        <v>1</v>
      </c>
      <c r="G51" s="1">
        <v>26</v>
      </c>
      <c r="H51" s="1">
        <v>21</v>
      </c>
      <c r="I51">
        <v>74</v>
      </c>
      <c r="J51">
        <v>215</v>
      </c>
      <c r="K51" s="1" t="s">
        <v>48</v>
      </c>
      <c r="L51">
        <v>39</v>
      </c>
      <c r="M51">
        <v>2243</v>
      </c>
      <c r="N51">
        <v>16</v>
      </c>
    </row>
    <row r="52" spans="1:14" x14ac:dyDescent="0.35">
      <c r="A52" t="str">
        <f>LOWER(Table1[[#This Row],[position]]) &amp; "_" &amp; TEXT(DATE(Table1[[#This Row],[season]], 1, 1), "yyyy") &amp; "_" &amp; LOWER(_xlfn.TEXTAFTER(Table1[[#This Row],[player_name]], " ", -1))</f>
        <v>wr_2015_dorsett</v>
      </c>
      <c r="B52" s="1" t="s">
        <v>26</v>
      </c>
      <c r="C52">
        <v>2015</v>
      </c>
      <c r="D52" s="1" t="s">
        <v>28</v>
      </c>
      <c r="E52" t="s">
        <v>39</v>
      </c>
      <c r="F52" cm="1">
        <f t="array" ref="F52">VALUE(INDEX(_xlfn.TEXTSPLIT(Table1[[#This Row],[player_id]], "_"), 2)) / Table1[[#This Row],[season]]</f>
        <v>1</v>
      </c>
      <c r="G52" s="1">
        <v>29</v>
      </c>
      <c r="H52" s="1">
        <v>22</v>
      </c>
      <c r="I52">
        <v>70</v>
      </c>
      <c r="J52">
        <v>185</v>
      </c>
      <c r="K52" s="1" t="s">
        <v>49</v>
      </c>
      <c r="L52">
        <v>44</v>
      </c>
      <c r="M52">
        <v>2132</v>
      </c>
      <c r="N52">
        <v>17</v>
      </c>
    </row>
    <row r="53" spans="1:14" x14ac:dyDescent="0.35">
      <c r="A53" t="str">
        <f>LOWER(Table1[[#This Row],[position]]) &amp; "_" &amp; TEXT(DATE(Table1[[#This Row],[season]], 1, 1), "yyyy") &amp; "_" &amp; LOWER(_xlfn.TEXTAFTER(Table1[[#This Row],[player_name]], " ", -1))</f>
        <v>qb_2016_goff</v>
      </c>
      <c r="B53" s="1" t="s">
        <v>50</v>
      </c>
      <c r="C53">
        <v>2016</v>
      </c>
      <c r="D53" s="1" t="s">
        <v>27</v>
      </c>
      <c r="E53" t="s">
        <v>34</v>
      </c>
      <c r="F53" cm="1">
        <f t="array" ref="F53">VALUE(INDEX(_xlfn.TEXTSPLIT(Table1[[#This Row],[player_id]], "_"), 2)) / Table1[[#This Row],[season]]</f>
        <v>1</v>
      </c>
      <c r="G53" s="1">
        <v>1</v>
      </c>
      <c r="H53" s="1">
        <v>21</v>
      </c>
      <c r="I53">
        <v>76</v>
      </c>
      <c r="J53">
        <v>217</v>
      </c>
      <c r="K53" s="1" t="s">
        <v>64</v>
      </c>
      <c r="L53">
        <v>37</v>
      </c>
      <c r="M53">
        <v>12200</v>
      </c>
      <c r="N53">
        <v>96</v>
      </c>
    </row>
    <row r="54" spans="1:14" x14ac:dyDescent="0.35">
      <c r="A54" t="str">
        <f>LOWER(Table1[[#This Row],[position]]) &amp; "_" &amp; TEXT(DATE(Table1[[#This Row],[season]], 1, 1), "yyyy") &amp; "_" &amp; LOWER(_xlfn.TEXTAFTER(Table1[[#This Row],[player_name]], " ", -1))</f>
        <v>qb_2016_wentz</v>
      </c>
      <c r="B54" s="1" t="s">
        <v>51</v>
      </c>
      <c r="C54">
        <v>2016</v>
      </c>
      <c r="D54" s="1" t="s">
        <v>27</v>
      </c>
      <c r="E54" t="s">
        <v>37</v>
      </c>
      <c r="F54" cm="1">
        <f t="array" ref="F54">VALUE(INDEX(_xlfn.TEXTSPLIT(Table1[[#This Row],[player_id]], "_"), 2)) / Table1[[#This Row],[season]]</f>
        <v>1</v>
      </c>
      <c r="G54" s="1">
        <v>2</v>
      </c>
      <c r="H54" s="1">
        <v>23</v>
      </c>
      <c r="I54">
        <v>77</v>
      </c>
      <c r="J54">
        <v>237</v>
      </c>
      <c r="K54" s="1" t="s">
        <v>65</v>
      </c>
      <c r="L54">
        <v>43</v>
      </c>
      <c r="M54">
        <v>2315</v>
      </c>
      <c r="N54">
        <v>45</v>
      </c>
    </row>
    <row r="55" spans="1:14" x14ac:dyDescent="0.35">
      <c r="A55" t="str">
        <f>LOWER(Table1[[#This Row],[position]]) &amp; "_" &amp; TEXT(DATE(Table1[[#This Row],[season]], 1, 1), "yyyy") &amp; "_" &amp; LOWER(_xlfn.TEXTAFTER(Table1[[#This Row],[player_name]], " ", -1))</f>
        <v>rb_2016_elliott</v>
      </c>
      <c r="B55" s="1" t="s">
        <v>52</v>
      </c>
      <c r="C55">
        <v>2016</v>
      </c>
      <c r="D55" s="1" t="s">
        <v>29</v>
      </c>
      <c r="E55" t="s">
        <v>58</v>
      </c>
      <c r="F55" cm="1">
        <f t="array" ref="F55">VALUE(INDEX(_xlfn.TEXTSPLIT(Table1[[#This Row],[player_id]], "_"), 2)) / Table1[[#This Row],[season]]</f>
        <v>1</v>
      </c>
      <c r="G55" s="1">
        <v>4</v>
      </c>
      <c r="H55" s="1">
        <v>21</v>
      </c>
      <c r="I55">
        <v>72</v>
      </c>
      <c r="J55">
        <v>228</v>
      </c>
      <c r="K55" s="1" t="s">
        <v>66</v>
      </c>
      <c r="L55">
        <v>35</v>
      </c>
      <c r="M55">
        <v>3961</v>
      </c>
      <c r="N55">
        <v>43</v>
      </c>
    </row>
    <row r="56" spans="1:14" x14ac:dyDescent="0.35">
      <c r="A56" t="str">
        <f>LOWER(Table1[[#This Row],[position]]) &amp; "_" &amp; TEXT(DATE(Table1[[#This Row],[season]], 1, 1), "yyyy") &amp; "_" &amp; LOWER(_xlfn.TEXTAFTER(Table1[[#This Row],[player_name]], " ", -1))</f>
        <v>wr_2016_coleman</v>
      </c>
      <c r="B56" s="1" t="s">
        <v>53</v>
      </c>
      <c r="C56">
        <v>2016</v>
      </c>
      <c r="D56" s="1" t="s">
        <v>28</v>
      </c>
      <c r="E56" t="s">
        <v>59</v>
      </c>
      <c r="F56" cm="1">
        <f t="array" ref="F56">VALUE(INDEX(_xlfn.TEXTSPLIT(Table1[[#This Row],[player_id]], "_"), 2)) / Table1[[#This Row],[season]]</f>
        <v>1</v>
      </c>
      <c r="G56" s="1">
        <v>15</v>
      </c>
      <c r="H56" s="1">
        <v>22</v>
      </c>
      <c r="I56">
        <v>71</v>
      </c>
      <c r="J56">
        <v>185</v>
      </c>
      <c r="K56" s="1" t="s">
        <v>67</v>
      </c>
      <c r="L56">
        <v>34</v>
      </c>
      <c r="M56">
        <v>3009</v>
      </c>
      <c r="N56">
        <v>33</v>
      </c>
    </row>
    <row r="57" spans="1:14" x14ac:dyDescent="0.35">
      <c r="A57" t="str">
        <f>LOWER(Table1[[#This Row],[position]]) &amp; "_" &amp; TEXT(DATE(Table1[[#This Row],[season]], 1, 1), "yyyy") &amp; "_" &amp; LOWER(_xlfn.TEXTAFTER(Table1[[#This Row],[player_name]], " ", -1))</f>
        <v>wr_2016_fuller</v>
      </c>
      <c r="B57" s="1" t="s">
        <v>54</v>
      </c>
      <c r="C57">
        <v>2016</v>
      </c>
      <c r="D57" s="1" t="s">
        <v>28</v>
      </c>
      <c r="E57" t="s">
        <v>60</v>
      </c>
      <c r="F57" cm="1">
        <f t="array" ref="F57">VALUE(INDEX(_xlfn.TEXTSPLIT(Table1[[#This Row],[player_id]], "_"), 2)) / Table1[[#This Row],[season]]</f>
        <v>1</v>
      </c>
      <c r="G57" s="1">
        <v>21</v>
      </c>
      <c r="H57" s="1">
        <v>22</v>
      </c>
      <c r="I57">
        <v>73</v>
      </c>
      <c r="J57">
        <v>184</v>
      </c>
      <c r="K57" s="1" t="s">
        <v>68</v>
      </c>
      <c r="L57">
        <v>32</v>
      </c>
      <c r="M57">
        <v>3512</v>
      </c>
      <c r="N57">
        <v>30</v>
      </c>
    </row>
    <row r="58" spans="1:14" x14ac:dyDescent="0.35">
      <c r="A58" t="str">
        <f>LOWER(Table1[[#This Row],[position]]) &amp; "_" &amp; TEXT(DATE(Table1[[#This Row],[season]], 1, 1), "yyyy") &amp; "_" &amp; LOWER(_xlfn.TEXTAFTER(Table1[[#This Row],[player_name]], " ", -1))</f>
        <v>wr_2016_doctson</v>
      </c>
      <c r="B58" s="1" t="s">
        <v>55</v>
      </c>
      <c r="C58">
        <v>2016</v>
      </c>
      <c r="D58" s="1" t="s">
        <v>28</v>
      </c>
      <c r="E58" t="s">
        <v>61</v>
      </c>
      <c r="F58" cm="1">
        <f t="array" ref="F58">VALUE(INDEX(_xlfn.TEXTSPLIT(Table1[[#This Row],[player_id]], "_"), 2)) / Table1[[#This Row],[season]]</f>
        <v>1</v>
      </c>
      <c r="G58" s="1">
        <v>22</v>
      </c>
      <c r="H58" s="1">
        <v>23</v>
      </c>
      <c r="I58">
        <v>74</v>
      </c>
      <c r="J58">
        <v>205</v>
      </c>
      <c r="K58" s="1" t="s">
        <v>69</v>
      </c>
      <c r="L58">
        <v>46</v>
      </c>
      <c r="M58">
        <v>3178</v>
      </c>
      <c r="N58">
        <v>34</v>
      </c>
    </row>
    <row r="59" spans="1:14" x14ac:dyDescent="0.35">
      <c r="A59" t="str">
        <f>LOWER(Table1[[#This Row],[position]]) &amp; "_" &amp; TEXT(DATE(Table1[[#This Row],[season]], 1, 1), "yyyy") &amp; "_" &amp; LOWER(_xlfn.TEXTAFTER(Table1[[#This Row],[player_name]], " ", -1))</f>
        <v>wr_2016_treadwell</v>
      </c>
      <c r="B59" s="1" t="s">
        <v>56</v>
      </c>
      <c r="C59">
        <v>2016</v>
      </c>
      <c r="D59" s="1" t="s">
        <v>28</v>
      </c>
      <c r="E59" t="s">
        <v>62</v>
      </c>
      <c r="F59" cm="1">
        <f t="array" ref="F59">VALUE(INDEX(_xlfn.TEXTSPLIT(Table1[[#This Row],[player_id]], "_"), 2)) / Table1[[#This Row],[season]]</f>
        <v>1</v>
      </c>
      <c r="G59" s="1">
        <v>23</v>
      </c>
      <c r="H59" s="1">
        <v>21</v>
      </c>
      <c r="I59">
        <v>74</v>
      </c>
      <c r="J59">
        <v>215</v>
      </c>
      <c r="K59" s="1" t="s">
        <v>70</v>
      </c>
      <c r="L59">
        <v>35</v>
      </c>
      <c r="M59">
        <v>2393</v>
      </c>
      <c r="N59">
        <v>21</v>
      </c>
    </row>
    <row r="60" spans="1:14" x14ac:dyDescent="0.35">
      <c r="A60" t="str">
        <f>LOWER(Table1[[#This Row],[position]]) &amp; "_" &amp; TEXT(DATE(Table1[[#This Row],[season]], 1, 1), "yyyy") &amp; "_" &amp; LOWER(_xlfn.TEXTAFTER(Table1[[#This Row],[player_name]], " ", -1))</f>
        <v>qb_2016_lynch</v>
      </c>
      <c r="B60" s="1" t="s">
        <v>57</v>
      </c>
      <c r="C60">
        <v>2016</v>
      </c>
      <c r="D60" s="1" t="s">
        <v>27</v>
      </c>
      <c r="E60" t="s">
        <v>63</v>
      </c>
      <c r="F60" cm="1">
        <f t="array" ref="F60">VALUE(INDEX(_xlfn.TEXTSPLIT(Table1[[#This Row],[player_id]], "_"), 2)) / Table1[[#This Row],[season]]</f>
        <v>1</v>
      </c>
      <c r="G60" s="1">
        <v>26</v>
      </c>
      <c r="H60" s="1">
        <v>22</v>
      </c>
      <c r="I60">
        <v>79</v>
      </c>
      <c r="J60">
        <v>244</v>
      </c>
      <c r="K60" s="1" t="s">
        <v>71</v>
      </c>
      <c r="L60">
        <v>38</v>
      </c>
      <c r="M60">
        <v>8863</v>
      </c>
      <c r="N60">
        <v>59</v>
      </c>
    </row>
    <row r="61" spans="1:14" x14ac:dyDescent="0.35">
      <c r="A61" t="str">
        <f>LOWER(Table1[[#This Row],[position]]) &amp; "_" &amp; TEXT(DATE(Table1[[#This Row],[season]], 1, 1), "yyyy") &amp; "_" &amp; LOWER(_xlfn.TEXTAFTER(Table1[[#This Row],[player_name]], " ", -1))</f>
        <v>qb_2017_trubisky</v>
      </c>
      <c r="B61" s="1" t="s">
        <v>72</v>
      </c>
      <c r="C61">
        <v>2017</v>
      </c>
      <c r="D61" s="1" t="s">
        <v>27</v>
      </c>
      <c r="E61" t="s">
        <v>33</v>
      </c>
      <c r="F61" cm="1">
        <f t="array" ref="F61">VALUE(INDEX(_xlfn.TEXTSPLIT(Table1[[#This Row],[player_id]], "_"), 2)) / Table1[[#This Row],[season]]</f>
        <v>1</v>
      </c>
      <c r="G61" s="1">
        <v>2</v>
      </c>
      <c r="H61" s="1">
        <v>23</v>
      </c>
      <c r="I61">
        <v>75</v>
      </c>
      <c r="J61">
        <v>222</v>
      </c>
      <c r="K61" s="1" t="s">
        <v>89</v>
      </c>
      <c r="L61">
        <v>34</v>
      </c>
      <c r="M61">
        <v>4762</v>
      </c>
      <c r="N61">
        <v>41</v>
      </c>
    </row>
    <row r="62" spans="1:14" x14ac:dyDescent="0.35">
      <c r="A62" t="str">
        <f>LOWER(Table1[[#This Row],[position]]) &amp; "_" &amp; TEXT(DATE(Table1[[#This Row],[season]], 1, 1), "yyyy") &amp; "_" &amp; LOWER(_xlfn.TEXTAFTER(Table1[[#This Row],[player_name]], " ", -1))</f>
        <v>rb_2017_fournette</v>
      </c>
      <c r="B62" s="1" t="s">
        <v>73</v>
      </c>
      <c r="C62">
        <v>2017</v>
      </c>
      <c r="D62" s="1" t="s">
        <v>29</v>
      </c>
      <c r="E62" t="s">
        <v>84</v>
      </c>
      <c r="F62" cm="1">
        <f t="array" ref="F62">VALUE(INDEX(_xlfn.TEXTSPLIT(Table1[[#This Row],[player_id]], "_"), 2)) / Table1[[#This Row],[season]]</f>
        <v>1</v>
      </c>
      <c r="G62" s="1">
        <v>4</v>
      </c>
      <c r="H62" s="1">
        <v>22</v>
      </c>
      <c r="I62">
        <v>72</v>
      </c>
      <c r="J62">
        <v>228</v>
      </c>
      <c r="K62" s="1" t="s">
        <v>90</v>
      </c>
      <c r="L62">
        <v>32</v>
      </c>
      <c r="M62">
        <v>3830</v>
      </c>
      <c r="N62">
        <v>40</v>
      </c>
    </row>
    <row r="63" spans="1:14" x14ac:dyDescent="0.35">
      <c r="A63" t="str">
        <f>LOWER(Table1[[#This Row],[position]]) &amp; "_" &amp; TEXT(DATE(Table1[[#This Row],[season]], 1, 1), "yyyy") &amp; "_" &amp; LOWER(_xlfn.TEXTAFTER(Table1[[#This Row],[player_name]], " ", -1))</f>
        <v>wr_2017_davis</v>
      </c>
      <c r="B63" s="1" t="s">
        <v>74</v>
      </c>
      <c r="C63">
        <v>2017</v>
      </c>
      <c r="D63" s="1" t="s">
        <v>28</v>
      </c>
      <c r="E63" t="s">
        <v>31</v>
      </c>
      <c r="F63" cm="1">
        <f t="array" ref="F63">VALUE(INDEX(_xlfn.TEXTSPLIT(Table1[[#This Row],[player_id]], "_"), 2)) / Table1[[#This Row],[season]]</f>
        <v>1</v>
      </c>
      <c r="G63" s="1">
        <v>5</v>
      </c>
      <c r="H63" s="1">
        <v>22</v>
      </c>
      <c r="I63">
        <v>75</v>
      </c>
      <c r="J63">
        <v>209</v>
      </c>
      <c r="K63" s="1" t="s">
        <v>91</v>
      </c>
      <c r="L63">
        <v>50</v>
      </c>
      <c r="M63">
        <v>5285</v>
      </c>
      <c r="N63">
        <v>52</v>
      </c>
    </row>
    <row r="64" spans="1:14" x14ac:dyDescent="0.35">
      <c r="A64" t="str">
        <f>LOWER(Table1[[#This Row],[position]]) &amp; "_" &amp; TEXT(DATE(Table1[[#This Row],[season]], 1, 1), "yyyy") &amp; "_" &amp; LOWER(_xlfn.TEXTAFTER(Table1[[#This Row],[player_name]], " ", -1))</f>
        <v>wr_2017_williams</v>
      </c>
      <c r="B64" s="1" t="s">
        <v>75</v>
      </c>
      <c r="C64">
        <v>2017</v>
      </c>
      <c r="D64" s="1" t="s">
        <v>28</v>
      </c>
      <c r="E64" t="s">
        <v>36</v>
      </c>
      <c r="F64" cm="1">
        <f t="array" ref="F64">VALUE(INDEX(_xlfn.TEXTSPLIT(Table1[[#This Row],[player_id]], "_"), 2)) / Table1[[#This Row],[season]]</f>
        <v>1</v>
      </c>
      <c r="G64" s="1">
        <v>7</v>
      </c>
      <c r="H64" s="1">
        <v>22</v>
      </c>
      <c r="I64">
        <v>76</v>
      </c>
      <c r="J64">
        <v>218</v>
      </c>
      <c r="K64" s="1" t="s">
        <v>92</v>
      </c>
      <c r="L64">
        <v>39</v>
      </c>
      <c r="M64">
        <v>2727</v>
      </c>
      <c r="N64">
        <v>21</v>
      </c>
    </row>
    <row r="65" spans="1:14" x14ac:dyDescent="0.35">
      <c r="A65" t="str">
        <f>LOWER(Table1[[#This Row],[position]]) &amp; "_" &amp; TEXT(DATE(Table1[[#This Row],[season]], 1, 1), "yyyy") &amp; "_" &amp; LOWER(_xlfn.TEXTAFTER(Table1[[#This Row],[player_name]], " ", -1))</f>
        <v>rb_2017_mccaffrey</v>
      </c>
      <c r="B65" s="1" t="s">
        <v>76</v>
      </c>
      <c r="C65">
        <v>2017</v>
      </c>
      <c r="D65" s="1" t="s">
        <v>29</v>
      </c>
      <c r="E65" t="s">
        <v>85</v>
      </c>
      <c r="F65" cm="1">
        <f t="array" ref="F65">VALUE(INDEX(_xlfn.TEXTSPLIT(Table1[[#This Row],[player_id]], "_"), 2)) / Table1[[#This Row],[season]]</f>
        <v>1</v>
      </c>
      <c r="G65" s="1">
        <v>8</v>
      </c>
      <c r="H65" s="1">
        <v>21</v>
      </c>
      <c r="I65">
        <v>71</v>
      </c>
      <c r="J65">
        <v>210</v>
      </c>
      <c r="K65" s="1" t="s">
        <v>93</v>
      </c>
      <c r="L65">
        <v>38</v>
      </c>
      <c r="M65">
        <v>3922</v>
      </c>
      <c r="N65">
        <v>21</v>
      </c>
    </row>
    <row r="66" spans="1:14" x14ac:dyDescent="0.35">
      <c r="A66" t="str">
        <f>LOWER(Table1[[#This Row],[position]]) &amp; "_" &amp; TEXT(DATE(Table1[[#This Row],[season]], 1, 1), "yyyy") &amp; "_" &amp; LOWER(_xlfn.TEXTAFTER(Table1[[#This Row],[player_name]], " ", -1))</f>
        <v>wr_2017_ross</v>
      </c>
      <c r="B66" s="1" t="s">
        <v>77</v>
      </c>
      <c r="C66">
        <v>2017</v>
      </c>
      <c r="D66" s="1" t="s">
        <v>28</v>
      </c>
      <c r="E66" t="s">
        <v>86</v>
      </c>
      <c r="F66" cm="1">
        <f t="array" ref="F66">VALUE(INDEX(_xlfn.TEXTSPLIT(Table1[[#This Row],[player_id]], "_"), 2)) / Table1[[#This Row],[season]]</f>
        <v>1</v>
      </c>
      <c r="G66" s="1">
        <v>9</v>
      </c>
      <c r="H66" s="1">
        <v>21</v>
      </c>
      <c r="I66">
        <v>71</v>
      </c>
      <c r="J66">
        <v>190</v>
      </c>
      <c r="K66" s="1" t="s">
        <v>94</v>
      </c>
      <c r="L66">
        <v>40</v>
      </c>
      <c r="M66">
        <v>1729</v>
      </c>
      <c r="N66">
        <v>22</v>
      </c>
    </row>
    <row r="67" spans="1:14" x14ac:dyDescent="0.35">
      <c r="A67" t="str">
        <f>LOWER(Table1[[#This Row],[position]]) &amp; "_" &amp; TEXT(DATE(Table1[[#This Row],[season]], 1, 1), "yyyy") &amp; "_" &amp; LOWER(_xlfn.TEXTAFTER(Table1[[#This Row],[player_name]], " ", -1))</f>
        <v>qb_2017_mahomes</v>
      </c>
      <c r="B67" s="1" t="s">
        <v>78</v>
      </c>
      <c r="C67">
        <v>2017</v>
      </c>
      <c r="D67" s="1" t="s">
        <v>27</v>
      </c>
      <c r="E67" t="s">
        <v>87</v>
      </c>
      <c r="F67" cm="1">
        <f t="array" ref="F67">VALUE(INDEX(_xlfn.TEXTSPLIT(Table1[[#This Row],[player_id]], "_"), 2)) / Table1[[#This Row],[season]]</f>
        <v>1</v>
      </c>
      <c r="G67" s="1">
        <v>10</v>
      </c>
      <c r="H67" s="1">
        <v>21</v>
      </c>
      <c r="I67">
        <v>74</v>
      </c>
      <c r="J67">
        <v>225</v>
      </c>
      <c r="K67" s="1" t="s">
        <v>95</v>
      </c>
      <c r="L67">
        <v>32</v>
      </c>
      <c r="M67">
        <v>11252</v>
      </c>
      <c r="N67">
        <v>93</v>
      </c>
    </row>
    <row r="68" spans="1:14" x14ac:dyDescent="0.35">
      <c r="A68" t="str">
        <f>LOWER(Table1[[#This Row],[position]]) &amp; "_" &amp; TEXT(DATE(Table1[[#This Row],[season]], 1, 1), "yyyy") &amp; "_" &amp; LOWER(_xlfn.TEXTAFTER(Table1[[#This Row],[player_name]], " ", -1))</f>
        <v>qb_2017_watson</v>
      </c>
      <c r="B68" s="1" t="s">
        <v>79</v>
      </c>
      <c r="C68">
        <v>2017</v>
      </c>
      <c r="D68" s="1" t="s">
        <v>27</v>
      </c>
      <c r="E68" t="s">
        <v>60</v>
      </c>
      <c r="F68" cm="1">
        <f t="array" ref="F68">VALUE(INDEX(_xlfn.TEXTSPLIT(Table1[[#This Row],[player_id]], "_"), 2)) / Table1[[#This Row],[season]]</f>
        <v>1</v>
      </c>
      <c r="G68" s="1">
        <v>12</v>
      </c>
      <c r="H68" s="1">
        <v>21</v>
      </c>
      <c r="I68">
        <v>75</v>
      </c>
      <c r="J68">
        <v>223</v>
      </c>
      <c r="K68" s="1" t="s">
        <v>92</v>
      </c>
      <c r="L68">
        <v>38</v>
      </c>
      <c r="M68">
        <v>10163</v>
      </c>
      <c r="N68">
        <v>90</v>
      </c>
    </row>
    <row r="69" spans="1:14" x14ac:dyDescent="0.35">
      <c r="A69" t="str">
        <f>LOWER(Table1[[#This Row],[position]]) &amp; "_" &amp; TEXT(DATE(Table1[[#This Row],[season]], 1, 1), "yyyy") &amp; "_" &amp; LOWER(_xlfn.TEXTAFTER(Table1[[#This Row],[player_name]], " ", -1))</f>
        <v>te_2017_howard</v>
      </c>
      <c r="B69" s="1" t="s">
        <v>80</v>
      </c>
      <c r="C69">
        <v>2017</v>
      </c>
      <c r="D69" s="1" t="s">
        <v>83</v>
      </c>
      <c r="E69" t="s">
        <v>30</v>
      </c>
      <c r="F69" cm="1">
        <f t="array" ref="F69">VALUE(INDEX(_xlfn.TEXTSPLIT(Table1[[#This Row],[player_id]], "_"), 2)) / Table1[[#This Row],[season]]</f>
        <v>1</v>
      </c>
      <c r="G69" s="1">
        <v>19</v>
      </c>
      <c r="H69" s="1">
        <v>22</v>
      </c>
      <c r="I69">
        <v>78</v>
      </c>
      <c r="J69">
        <v>251</v>
      </c>
      <c r="K69" s="1" t="s">
        <v>42</v>
      </c>
      <c r="L69">
        <v>54</v>
      </c>
      <c r="M69">
        <v>1726</v>
      </c>
      <c r="N69">
        <v>7</v>
      </c>
    </row>
    <row r="70" spans="1:14" x14ac:dyDescent="0.35">
      <c r="A70" t="str">
        <f>LOWER(Table1[[#This Row],[position]]) &amp; "_" &amp; TEXT(DATE(Table1[[#This Row],[season]], 1, 1), "yyyy") &amp; "_" &amp; LOWER(_xlfn.TEXTAFTER(Table1[[#This Row],[player_name]], " ", -1))</f>
        <v>te_2017_engram</v>
      </c>
      <c r="B70" s="1" t="s">
        <v>81</v>
      </c>
      <c r="C70">
        <v>2017</v>
      </c>
      <c r="D70" s="1" t="s">
        <v>83</v>
      </c>
      <c r="E70" t="s">
        <v>88</v>
      </c>
      <c r="F70" cm="1">
        <f t="array" ref="F70">VALUE(INDEX(_xlfn.TEXTSPLIT(Table1[[#This Row],[player_id]], "_"), 2)) / Table1[[#This Row],[season]]</f>
        <v>1</v>
      </c>
      <c r="G70" s="1">
        <v>23</v>
      </c>
      <c r="H70" s="1">
        <v>23</v>
      </c>
      <c r="I70">
        <v>75</v>
      </c>
      <c r="J70">
        <v>240</v>
      </c>
      <c r="K70" s="1" t="s">
        <v>70</v>
      </c>
      <c r="L70">
        <v>45</v>
      </c>
      <c r="M70">
        <v>2320</v>
      </c>
      <c r="N70">
        <v>15</v>
      </c>
    </row>
    <row r="71" spans="1:14" x14ac:dyDescent="0.35">
      <c r="A71" t="str">
        <f>LOWER(Table1[[#This Row],[position]]) &amp; "_" &amp; TEXT(DATE(Table1[[#This Row],[season]], 1, 1), "yyyy") &amp; "_" &amp; LOWER(_xlfn.TEXTAFTER(Table1[[#This Row],[player_name]], " ", -1))</f>
        <v>te_2017_njoku</v>
      </c>
      <c r="B71" s="1" t="s">
        <v>82</v>
      </c>
      <c r="C71">
        <v>2017</v>
      </c>
      <c r="D71" s="1" t="s">
        <v>83</v>
      </c>
      <c r="E71" t="s">
        <v>59</v>
      </c>
      <c r="F71" cm="1">
        <f t="array" ref="F71">VALUE(INDEX(_xlfn.TEXTSPLIT(Table1[[#This Row],[player_id]], "_"), 2)) / Table1[[#This Row],[season]]</f>
        <v>1</v>
      </c>
      <c r="G71" s="1">
        <v>29</v>
      </c>
      <c r="H71" s="1">
        <v>21</v>
      </c>
      <c r="I71">
        <v>76</v>
      </c>
      <c r="J71">
        <v>246</v>
      </c>
      <c r="K71" s="1" t="s">
        <v>49</v>
      </c>
      <c r="L71">
        <v>26</v>
      </c>
      <c r="M71">
        <v>1060</v>
      </c>
      <c r="N71">
        <v>9</v>
      </c>
    </row>
    <row r="72" spans="1:14" x14ac:dyDescent="0.35">
      <c r="A72" t="str">
        <f>LOWER(Table1[[#This Row],[position]]) &amp; "_" &amp; TEXT(DATE(Table1[[#This Row],[season]], 1, 1), "yyyy") &amp; "_" &amp; LOWER(_xlfn.TEXTAFTER(Table1[[#This Row],[player_name]], " ", -1))</f>
        <v>qb_2018_mayfield</v>
      </c>
      <c r="B72" s="1" t="s">
        <v>96</v>
      </c>
      <c r="C72">
        <v>2018</v>
      </c>
      <c r="D72" s="1" t="s">
        <v>27</v>
      </c>
      <c r="E72" t="s">
        <v>59</v>
      </c>
      <c r="F72" cm="1">
        <f t="array" ref="F72">VALUE(INDEX(_xlfn.TEXTSPLIT(Table1[[#This Row],[player_id]], "_"), 2)) / Table1[[#This Row],[season]]</f>
        <v>1</v>
      </c>
      <c r="G72" s="1">
        <v>1</v>
      </c>
      <c r="H72" s="1">
        <v>23</v>
      </c>
      <c r="I72">
        <v>73</v>
      </c>
      <c r="J72">
        <v>215</v>
      </c>
      <c r="K72" s="1" t="s">
        <v>113</v>
      </c>
      <c r="L72">
        <v>48</v>
      </c>
      <c r="M72">
        <v>14607</v>
      </c>
      <c r="N72">
        <v>131</v>
      </c>
    </row>
    <row r="73" spans="1:14" x14ac:dyDescent="0.35">
      <c r="A73" t="str">
        <f>LOWER(Table1[[#This Row],[position]]) &amp; "_" &amp; TEXT(DATE(Table1[[#This Row],[season]], 1, 1), "yyyy") &amp; "_" &amp; LOWER(_xlfn.TEXTAFTER(Table1[[#This Row],[player_name]], " ", -1))</f>
        <v>rb_2018_barkley</v>
      </c>
      <c r="B73" s="1" t="s">
        <v>97</v>
      </c>
      <c r="C73">
        <v>2018</v>
      </c>
      <c r="D73" s="1" t="s">
        <v>29</v>
      </c>
      <c r="E73" t="s">
        <v>88</v>
      </c>
      <c r="F73" cm="1">
        <f t="array" ref="F73">VALUE(INDEX(_xlfn.TEXTSPLIT(Table1[[#This Row],[player_id]], "_"), 2)) / Table1[[#This Row],[season]]</f>
        <v>1</v>
      </c>
      <c r="G73" s="1">
        <v>2</v>
      </c>
      <c r="H73" s="1">
        <v>21</v>
      </c>
      <c r="I73">
        <v>72</v>
      </c>
      <c r="J73">
        <v>233</v>
      </c>
      <c r="K73" s="1" t="s">
        <v>114</v>
      </c>
      <c r="L73">
        <v>38</v>
      </c>
      <c r="M73">
        <v>3843</v>
      </c>
      <c r="N73">
        <v>43</v>
      </c>
    </row>
    <row r="74" spans="1:14" x14ac:dyDescent="0.35">
      <c r="A74" t="str">
        <f>LOWER(Table1[[#This Row],[position]]) &amp; "_" &amp; TEXT(DATE(Table1[[#This Row],[season]], 1, 1), "yyyy") &amp; "_" &amp; LOWER(_xlfn.TEXTAFTER(Table1[[#This Row],[player_name]], " ", -1))</f>
        <v>qb_2018_darnold</v>
      </c>
      <c r="B74" s="1" t="s">
        <v>98</v>
      </c>
      <c r="C74">
        <v>2018</v>
      </c>
      <c r="D74" s="1" t="s">
        <v>27</v>
      </c>
      <c r="E74" t="s">
        <v>107</v>
      </c>
      <c r="F74" cm="1">
        <f t="array" ref="F74">VALUE(INDEX(_xlfn.TEXTSPLIT(Table1[[#This Row],[player_id]], "_"), 2)) / Table1[[#This Row],[season]]</f>
        <v>1</v>
      </c>
      <c r="G74" s="1">
        <v>3</v>
      </c>
      <c r="H74" s="1">
        <v>21</v>
      </c>
      <c r="I74">
        <v>75</v>
      </c>
      <c r="J74">
        <v>225</v>
      </c>
      <c r="K74" s="1" t="s">
        <v>47</v>
      </c>
      <c r="L74">
        <v>27</v>
      </c>
      <c r="M74">
        <v>7229</v>
      </c>
      <c r="N74">
        <v>57</v>
      </c>
    </row>
    <row r="75" spans="1:14" x14ac:dyDescent="0.35">
      <c r="A75" t="str">
        <f>LOWER(Table1[[#This Row],[position]]) &amp; "_" &amp; TEXT(DATE(Table1[[#This Row],[season]], 1, 1), "yyyy") &amp; "_" &amp; LOWER(_xlfn.TEXTAFTER(Table1[[#This Row],[player_name]], " ", -1))</f>
        <v>qb_2018_allen</v>
      </c>
      <c r="B75" s="1" t="s">
        <v>99</v>
      </c>
      <c r="C75">
        <v>2018</v>
      </c>
      <c r="D75" s="1" t="s">
        <v>27</v>
      </c>
      <c r="E75" t="s">
        <v>108</v>
      </c>
      <c r="F75" cm="1">
        <f t="array" ref="F75">VALUE(INDEX(_xlfn.TEXTSPLIT(Table1[[#This Row],[player_id]], "_"), 2)) / Table1[[#This Row],[season]]</f>
        <v>1</v>
      </c>
      <c r="G75" s="1">
        <v>7</v>
      </c>
      <c r="H75" s="1">
        <v>22</v>
      </c>
      <c r="I75">
        <v>77</v>
      </c>
      <c r="J75">
        <v>237</v>
      </c>
      <c r="K75" s="1" t="s">
        <v>115</v>
      </c>
      <c r="L75">
        <v>27</v>
      </c>
      <c r="M75">
        <v>5066</v>
      </c>
      <c r="N75">
        <v>44</v>
      </c>
    </row>
    <row r="76" spans="1:14" x14ac:dyDescent="0.35">
      <c r="A76" t="str">
        <f>LOWER(Table1[[#This Row],[position]]) &amp; "_" &amp; TEXT(DATE(Table1[[#This Row],[season]], 1, 1), "yyyy") &amp; "_" &amp; LOWER(_xlfn.TEXTAFTER(Table1[[#This Row],[player_name]], " ", -1))</f>
        <v>qb_2018_rosen</v>
      </c>
      <c r="B76" s="1" t="s">
        <v>100</v>
      </c>
      <c r="C76">
        <v>2018</v>
      </c>
      <c r="D76" s="1" t="s">
        <v>27</v>
      </c>
      <c r="E76" t="s">
        <v>109</v>
      </c>
      <c r="F76" cm="1">
        <f t="array" ref="F76">VALUE(INDEX(_xlfn.TEXTSPLIT(Table1[[#This Row],[player_id]], "_"), 2)) / Table1[[#This Row],[season]]</f>
        <v>1</v>
      </c>
      <c r="G76" s="1">
        <v>10</v>
      </c>
      <c r="H76" s="1">
        <v>21</v>
      </c>
      <c r="I76">
        <v>76</v>
      </c>
      <c r="J76">
        <v>226</v>
      </c>
      <c r="K76" s="1" t="s">
        <v>116</v>
      </c>
      <c r="L76">
        <v>30</v>
      </c>
      <c r="M76">
        <v>1170</v>
      </c>
      <c r="N76">
        <v>59</v>
      </c>
    </row>
    <row r="77" spans="1:14" x14ac:dyDescent="0.35">
      <c r="A77" t="str">
        <f>LOWER(Table1[[#This Row],[position]]) &amp; "_" &amp; TEXT(DATE(Table1[[#This Row],[season]], 1, 1), "yyyy") &amp; "_" &amp; LOWER(_xlfn.TEXTAFTER(Table1[[#This Row],[player_name]], " ", -1))</f>
        <v>wr_2018_moore</v>
      </c>
      <c r="B77" s="1" t="s">
        <v>101</v>
      </c>
      <c r="C77">
        <v>2018</v>
      </c>
      <c r="D77" s="1" t="s">
        <v>28</v>
      </c>
      <c r="E77" t="s">
        <v>85</v>
      </c>
      <c r="F77" cm="1">
        <f t="array" ref="F77">VALUE(INDEX(_xlfn.TEXTSPLIT(Table1[[#This Row],[player_id]], "_"), 2)) / Table1[[#This Row],[season]]</f>
        <v>1</v>
      </c>
      <c r="G77" s="1">
        <v>24</v>
      </c>
      <c r="H77" s="1">
        <v>21</v>
      </c>
      <c r="I77">
        <v>72</v>
      </c>
      <c r="J77">
        <v>213</v>
      </c>
      <c r="K77" s="1" t="s">
        <v>117</v>
      </c>
      <c r="L77">
        <v>37</v>
      </c>
      <c r="M77">
        <v>2027</v>
      </c>
      <c r="N77">
        <v>17</v>
      </c>
    </row>
    <row r="78" spans="1:14" x14ac:dyDescent="0.35">
      <c r="A78" t="str">
        <f>LOWER(Table1[[#This Row],[position]]) &amp; "_" &amp; TEXT(DATE(Table1[[#This Row],[season]], 1, 1), "yyyy") &amp; "_" &amp; LOWER(_xlfn.TEXTAFTER(Table1[[#This Row],[player_name]], " ", -1))</f>
        <v>te_2018_hurst</v>
      </c>
      <c r="B78" s="1" t="s">
        <v>102</v>
      </c>
      <c r="C78">
        <v>2018</v>
      </c>
      <c r="D78" s="1" t="s">
        <v>83</v>
      </c>
      <c r="E78" t="s">
        <v>38</v>
      </c>
      <c r="F78" cm="1">
        <f t="array" ref="F78">VALUE(INDEX(_xlfn.TEXTSPLIT(Table1[[#This Row],[player_id]], "_"), 2)) / Table1[[#This Row],[season]]</f>
        <v>1</v>
      </c>
      <c r="G78" s="1">
        <v>25</v>
      </c>
      <c r="H78" s="1">
        <v>25</v>
      </c>
      <c r="I78">
        <v>76</v>
      </c>
      <c r="J78">
        <v>245</v>
      </c>
      <c r="K78" s="1" t="s">
        <v>118</v>
      </c>
      <c r="L78">
        <v>38</v>
      </c>
      <c r="M78">
        <v>1281</v>
      </c>
      <c r="N78">
        <v>3</v>
      </c>
    </row>
    <row r="79" spans="1:14" x14ac:dyDescent="0.35">
      <c r="A79" t="str">
        <f>LOWER(Table1[[#This Row],[position]]) &amp; "_" &amp; TEXT(DATE(Table1[[#This Row],[season]], 1, 1), "yyyy") &amp; "_" &amp; LOWER(_xlfn.TEXTAFTER(Table1[[#This Row],[player_name]], " ", -1))</f>
        <v>wr_2018_ridley</v>
      </c>
      <c r="B79" s="1" t="s">
        <v>103</v>
      </c>
      <c r="C79">
        <v>2018</v>
      </c>
      <c r="D79" s="1" t="s">
        <v>28</v>
      </c>
      <c r="E79" t="s">
        <v>110</v>
      </c>
      <c r="F79" cm="1">
        <f t="array" ref="F79">VALUE(INDEX(_xlfn.TEXTSPLIT(Table1[[#This Row],[player_id]], "_"), 2)) / Table1[[#This Row],[season]]</f>
        <v>1</v>
      </c>
      <c r="G79" s="1">
        <v>26</v>
      </c>
      <c r="H79" s="1">
        <v>23</v>
      </c>
      <c r="I79">
        <v>73</v>
      </c>
      <c r="J79">
        <v>190</v>
      </c>
      <c r="K79" s="1" t="s">
        <v>42</v>
      </c>
      <c r="L79">
        <v>44</v>
      </c>
      <c r="M79">
        <v>2781</v>
      </c>
      <c r="N79">
        <v>19</v>
      </c>
    </row>
    <row r="80" spans="1:14" x14ac:dyDescent="0.35">
      <c r="A80" t="str">
        <f>LOWER(Table1[[#This Row],[position]]) &amp; "_" &amp; TEXT(DATE(Table1[[#This Row],[season]], 1, 1), "yyyy") &amp; "_" &amp; LOWER(_xlfn.TEXTAFTER(Table1[[#This Row],[player_name]], " ", -1))</f>
        <v>rb_2018_penny</v>
      </c>
      <c r="B80" s="1" t="s">
        <v>104</v>
      </c>
      <c r="C80">
        <v>2018</v>
      </c>
      <c r="D80" s="1" t="s">
        <v>29</v>
      </c>
      <c r="E80" t="s">
        <v>111</v>
      </c>
      <c r="F80" cm="1">
        <f t="array" ref="F80">VALUE(INDEX(_xlfn.TEXTSPLIT(Table1[[#This Row],[player_id]], "_"), 2)) / Table1[[#This Row],[season]]</f>
        <v>1</v>
      </c>
      <c r="G80" s="1">
        <v>27</v>
      </c>
      <c r="H80" s="1">
        <v>22</v>
      </c>
      <c r="I80">
        <v>71</v>
      </c>
      <c r="J80">
        <v>220</v>
      </c>
      <c r="K80" s="1" t="s">
        <v>119</v>
      </c>
      <c r="L80">
        <v>54</v>
      </c>
      <c r="M80">
        <v>3656</v>
      </c>
      <c r="N80">
        <v>38</v>
      </c>
    </row>
    <row r="81" spans="1:14" x14ac:dyDescent="0.35">
      <c r="A81" t="str">
        <f>LOWER(Table1[[#This Row],[position]]) &amp; "_" &amp; TEXT(DATE(Table1[[#This Row],[season]], 1, 1), "yyyy") &amp; "_" &amp; LOWER(_xlfn.TEXTAFTER(Table1[[#This Row],[player_name]], " ", -1))</f>
        <v>rb_2018_michel</v>
      </c>
      <c r="B81" s="1" t="s">
        <v>105</v>
      </c>
      <c r="C81">
        <v>2018</v>
      </c>
      <c r="D81" s="1" t="s">
        <v>29</v>
      </c>
      <c r="E81" t="s">
        <v>112</v>
      </c>
      <c r="F81" cm="1">
        <f t="array" ref="F81">VALUE(INDEX(_xlfn.TEXTSPLIT(Table1[[#This Row],[player_id]], "_"), 2)) / Table1[[#This Row],[season]]</f>
        <v>1</v>
      </c>
      <c r="G81" s="1">
        <v>31</v>
      </c>
      <c r="H81" s="1">
        <v>23</v>
      </c>
      <c r="I81">
        <v>71</v>
      </c>
      <c r="J81">
        <v>215</v>
      </c>
      <c r="K81" s="1" t="s">
        <v>44</v>
      </c>
      <c r="L81">
        <v>47</v>
      </c>
      <c r="M81">
        <v>3638</v>
      </c>
      <c r="N81">
        <v>33</v>
      </c>
    </row>
    <row r="82" spans="1:14" x14ac:dyDescent="0.35">
      <c r="A82" t="str">
        <f>LOWER(Table1[[#This Row],[position]]) &amp; "_" &amp; TEXT(DATE(Table1[[#This Row],[season]], 1, 1), "yyyy") &amp; "_" &amp; LOWER(_xlfn.TEXTAFTER(Table1[[#This Row],[player_name]], " ", -1))</f>
        <v>qb_2018_jackson</v>
      </c>
      <c r="B82" s="1" t="s">
        <v>106</v>
      </c>
      <c r="C82">
        <v>2018</v>
      </c>
      <c r="D82" s="1" t="s">
        <v>27</v>
      </c>
      <c r="E82" t="s">
        <v>38</v>
      </c>
      <c r="F82" cm="1">
        <f t="array" ref="F82">VALUE(INDEX(_xlfn.TEXTSPLIT(Table1[[#This Row],[player_id]], "_"), 2)) / Table1[[#This Row],[season]]</f>
        <v>1</v>
      </c>
      <c r="G82" s="1">
        <v>32</v>
      </c>
      <c r="H82" s="1">
        <v>21</v>
      </c>
      <c r="I82">
        <v>74</v>
      </c>
      <c r="J82">
        <v>205</v>
      </c>
      <c r="K82" s="1" t="s">
        <v>45</v>
      </c>
      <c r="L82">
        <v>38</v>
      </c>
      <c r="M82">
        <v>9043</v>
      </c>
      <c r="N82">
        <v>69</v>
      </c>
    </row>
    <row r="83" spans="1:14" x14ac:dyDescent="0.35">
      <c r="A83" t="str">
        <f>LOWER(Table1[[#This Row],[position]]) &amp; "_" &amp; TEXT(DATE(Table1[[#This Row],[season]], 1, 1), "yyyy") &amp; "_" &amp; LOWER(_xlfn.TEXTAFTER(Table1[[#This Row],[player_name]], " ", -1))</f>
        <v>qb_2019_murray</v>
      </c>
      <c r="B83" s="1" t="s">
        <v>120</v>
      </c>
      <c r="C83">
        <v>2019</v>
      </c>
      <c r="D83" s="1" t="s">
        <v>27</v>
      </c>
      <c r="E83" t="s">
        <v>109</v>
      </c>
      <c r="F83" cm="1">
        <f t="array" ref="F83">VALUE(INDEX(_xlfn.TEXTSPLIT(Table1[[#This Row],[player_id]], "_"), 2)) / Table1[[#This Row],[season]]</f>
        <v>1</v>
      </c>
      <c r="G83" s="1">
        <v>1</v>
      </c>
      <c r="H83" s="1">
        <v>22</v>
      </c>
      <c r="I83">
        <v>70</v>
      </c>
      <c r="J83">
        <v>207</v>
      </c>
      <c r="K83" s="1" t="s">
        <v>113</v>
      </c>
      <c r="L83">
        <v>29</v>
      </c>
      <c r="M83">
        <v>5406</v>
      </c>
      <c r="N83">
        <v>50</v>
      </c>
    </row>
    <row r="84" spans="1:14" x14ac:dyDescent="0.35">
      <c r="A84" t="str">
        <f>LOWER(Table1[[#This Row],[position]]) &amp; "_" &amp; TEXT(DATE(Table1[[#This Row],[season]], 1, 1), "yyyy") &amp; "_" &amp; LOWER(_xlfn.TEXTAFTER(Table1[[#This Row],[player_name]], " ", -1))</f>
        <v>qb_2019_jones</v>
      </c>
      <c r="B84" s="1" t="s">
        <v>121</v>
      </c>
      <c r="C84">
        <v>2019</v>
      </c>
      <c r="D84" s="1" t="s">
        <v>27</v>
      </c>
      <c r="E84" t="s">
        <v>88</v>
      </c>
      <c r="F84" cm="1">
        <f t="array" ref="F84">VALUE(INDEX(_xlfn.TEXTSPLIT(Table1[[#This Row],[player_id]], "_"), 2)) / Table1[[#This Row],[season]]</f>
        <v>1</v>
      </c>
      <c r="G84" s="1">
        <v>6</v>
      </c>
      <c r="H84" s="1">
        <v>22</v>
      </c>
      <c r="I84">
        <v>77</v>
      </c>
      <c r="J84">
        <v>230</v>
      </c>
      <c r="K84" s="1" t="s">
        <v>129</v>
      </c>
      <c r="L84">
        <v>36</v>
      </c>
      <c r="M84">
        <v>8201</v>
      </c>
      <c r="N84">
        <v>52</v>
      </c>
    </row>
    <row r="85" spans="1:14" x14ac:dyDescent="0.35">
      <c r="A85" t="str">
        <f>LOWER(Table1[[#This Row],[position]]) &amp; "_" &amp; TEXT(DATE(Table1[[#This Row],[season]], 1, 1), "yyyy") &amp; "_" &amp; LOWER(_xlfn.TEXTAFTER(Table1[[#This Row],[player_name]], " ", -1))</f>
        <v>te_2019_hockenson</v>
      </c>
      <c r="B85" s="1" t="s">
        <v>122</v>
      </c>
      <c r="C85">
        <v>2019</v>
      </c>
      <c r="D85" s="1" t="s">
        <v>83</v>
      </c>
      <c r="E85" t="s">
        <v>128</v>
      </c>
      <c r="F85" cm="1">
        <f t="array" ref="F85">VALUE(INDEX(_xlfn.TEXTSPLIT(Table1[[#This Row],[player_id]], "_"), 2)) / Table1[[#This Row],[season]]</f>
        <v>1</v>
      </c>
      <c r="G85" s="1">
        <v>8</v>
      </c>
      <c r="H85" s="1">
        <v>22</v>
      </c>
      <c r="I85">
        <v>77</v>
      </c>
      <c r="J85">
        <v>248</v>
      </c>
      <c r="K85" s="1" t="s">
        <v>130</v>
      </c>
      <c r="L85">
        <v>26</v>
      </c>
      <c r="M85">
        <v>1080</v>
      </c>
      <c r="N85">
        <v>9</v>
      </c>
    </row>
    <row r="86" spans="1:14" x14ac:dyDescent="0.35">
      <c r="A86" t="str">
        <f>LOWER(Table1[[#This Row],[position]]) &amp; "_" &amp; TEXT(DATE(Table1[[#This Row],[season]], 1, 1), "yyyy") &amp; "_" &amp; LOWER(_xlfn.TEXTAFTER(Table1[[#This Row],[player_name]], " ", -1))</f>
        <v>qb_2019_haskins</v>
      </c>
      <c r="B86" s="1" t="s">
        <v>123</v>
      </c>
      <c r="C86">
        <v>2019</v>
      </c>
      <c r="D86" s="1" t="s">
        <v>27</v>
      </c>
      <c r="E86" t="s">
        <v>61</v>
      </c>
      <c r="F86" cm="1">
        <f t="array" ref="F86">VALUE(INDEX(_xlfn.TEXTSPLIT(Table1[[#This Row],[player_id]], "_"), 2)) / Table1[[#This Row],[season]]</f>
        <v>1</v>
      </c>
      <c r="G86" s="1">
        <v>15</v>
      </c>
      <c r="H86" s="1">
        <v>22</v>
      </c>
      <c r="I86">
        <v>76</v>
      </c>
      <c r="J86">
        <v>230</v>
      </c>
      <c r="K86" s="1" t="s">
        <v>66</v>
      </c>
      <c r="L86">
        <v>22</v>
      </c>
      <c r="M86">
        <v>5396</v>
      </c>
      <c r="N86">
        <v>54</v>
      </c>
    </row>
    <row r="87" spans="1:14" x14ac:dyDescent="0.35">
      <c r="A87" t="str">
        <f>LOWER(Table1[[#This Row],[position]]) &amp; "_" &amp; TEXT(DATE(Table1[[#This Row],[season]], 1, 1), "yyyy") &amp; "_" &amp; LOWER(_xlfn.TEXTAFTER(Table1[[#This Row],[player_name]], " ", -1))</f>
        <v>te_2019_fant</v>
      </c>
      <c r="B87" s="1" t="s">
        <v>124</v>
      </c>
      <c r="C87">
        <v>2019</v>
      </c>
      <c r="D87" s="1" t="s">
        <v>83</v>
      </c>
      <c r="E87" t="s">
        <v>63</v>
      </c>
      <c r="F87" cm="1">
        <f t="array" ref="F87">VALUE(INDEX(_xlfn.TEXTSPLIT(Table1[[#This Row],[player_id]], "_"), 2)) / Table1[[#This Row],[season]]</f>
        <v>1</v>
      </c>
      <c r="G87" s="1">
        <v>20</v>
      </c>
      <c r="H87" s="1">
        <v>21</v>
      </c>
      <c r="I87">
        <v>76</v>
      </c>
      <c r="J87">
        <v>249</v>
      </c>
      <c r="K87" s="1" t="s">
        <v>130</v>
      </c>
      <c r="L87">
        <v>35</v>
      </c>
      <c r="M87">
        <v>1083</v>
      </c>
      <c r="N87">
        <v>19</v>
      </c>
    </row>
    <row r="88" spans="1:14" x14ac:dyDescent="0.35">
      <c r="A88" t="str">
        <f>LOWER(Table1[[#This Row],[position]]) &amp; "_" &amp; TEXT(DATE(Table1[[#This Row],[season]], 1, 1), "yyyy") &amp; "_" &amp; LOWER(_xlfn.TEXTAFTER(Table1[[#This Row],[player_name]], " ", -1))</f>
        <v>rb_2019_jacobs</v>
      </c>
      <c r="B88" s="1" t="s">
        <v>125</v>
      </c>
      <c r="C88">
        <v>2019</v>
      </c>
      <c r="D88" s="1" t="s">
        <v>29</v>
      </c>
      <c r="E88" t="s">
        <v>32</v>
      </c>
      <c r="F88" cm="1">
        <f t="array" ref="F88">VALUE(INDEX(_xlfn.TEXTSPLIT(Table1[[#This Row],[player_id]], "_"), 2)) / Table1[[#This Row],[season]]</f>
        <v>1</v>
      </c>
      <c r="G88" s="1">
        <v>24</v>
      </c>
      <c r="H88" s="1">
        <v>21</v>
      </c>
      <c r="I88">
        <v>70</v>
      </c>
      <c r="J88">
        <v>223</v>
      </c>
      <c r="K88" s="1" t="s">
        <v>42</v>
      </c>
      <c r="L88">
        <v>42</v>
      </c>
      <c r="M88">
        <v>1491</v>
      </c>
      <c r="N88">
        <v>16</v>
      </c>
    </row>
    <row r="89" spans="1:14" x14ac:dyDescent="0.35">
      <c r="A89" t="str">
        <f>LOWER(Table1[[#This Row],[position]]) &amp; "_" &amp; TEXT(DATE(Table1[[#This Row],[season]], 1, 1), "yyyy") &amp; "_" &amp; LOWER(_xlfn.TEXTAFTER(Table1[[#This Row],[player_name]], " ", -1))</f>
        <v>wr_2019_brown</v>
      </c>
      <c r="B89" s="1" t="s">
        <v>126</v>
      </c>
      <c r="C89">
        <v>2019</v>
      </c>
      <c r="D89" s="1" t="s">
        <v>28</v>
      </c>
      <c r="E89" t="s">
        <v>38</v>
      </c>
      <c r="F89" cm="1">
        <f t="array" ref="F89">VALUE(INDEX(_xlfn.TEXTSPLIT(Table1[[#This Row],[player_id]], "_"), 2)) / Table1[[#This Row],[season]]</f>
        <v>1</v>
      </c>
      <c r="G89" s="1">
        <v>25</v>
      </c>
      <c r="H89" s="1">
        <v>22</v>
      </c>
      <c r="I89">
        <v>69</v>
      </c>
      <c r="J89">
        <v>180</v>
      </c>
      <c r="K89" s="1" t="s">
        <v>113</v>
      </c>
      <c r="L89">
        <v>27</v>
      </c>
      <c r="M89">
        <v>2413</v>
      </c>
      <c r="N89">
        <v>17</v>
      </c>
    </row>
    <row r="90" spans="1:14" x14ac:dyDescent="0.35">
      <c r="A90" t="str">
        <f>LOWER(Table1[[#This Row],[position]]) &amp; "_" &amp; TEXT(DATE(Table1[[#This Row],[season]], 1, 1), "yyyy") &amp; "_" &amp; LOWER(_xlfn.TEXTAFTER(Table1[[#This Row],[player_name]], " ", -1))</f>
        <v>wr_2019_harry</v>
      </c>
      <c r="B90" s="1" t="s">
        <v>127</v>
      </c>
      <c r="C90">
        <v>2019</v>
      </c>
      <c r="D90" s="1" t="s">
        <v>28</v>
      </c>
      <c r="E90" t="s">
        <v>112</v>
      </c>
      <c r="F90" cm="1">
        <f t="array" ref="F90">VALUE(INDEX(_xlfn.TEXTSPLIT(Table1[[#This Row],[player_id]], "_"), 2)) / Table1[[#This Row],[season]]</f>
        <v>1</v>
      </c>
      <c r="G90" s="1">
        <v>32</v>
      </c>
      <c r="H90" s="1">
        <v>21</v>
      </c>
      <c r="I90">
        <v>76</v>
      </c>
      <c r="J90">
        <v>225</v>
      </c>
      <c r="K90" s="1" t="s">
        <v>131</v>
      </c>
      <c r="L90">
        <v>37</v>
      </c>
      <c r="M90">
        <v>2889</v>
      </c>
      <c r="N90">
        <v>22</v>
      </c>
    </row>
    <row r="91" spans="1:14" x14ac:dyDescent="0.35">
      <c r="A91" t="str">
        <f>LOWER(Table1[[#This Row],[position]]) &amp; "_" &amp; TEXT(DATE(Table1[[#This Row],[season]], 1, 1), "yyyy") &amp; "_" &amp; LOWER(_xlfn.TEXTAFTER(Table1[[#This Row],[player_name]], " ", -1))</f>
        <v>qb_2020_burrow</v>
      </c>
      <c r="B91" s="1" t="s">
        <v>132</v>
      </c>
      <c r="C91">
        <v>2020</v>
      </c>
      <c r="D91" s="1" t="s">
        <v>27</v>
      </c>
      <c r="E91" t="s">
        <v>86</v>
      </c>
      <c r="F91" cm="1">
        <f t="array" ref="F91">VALUE(INDEX(_xlfn.TEXTSPLIT(Table1[[#This Row],[player_id]], "_"), 2)) / Table1[[#This Row],[season]]</f>
        <v>1</v>
      </c>
      <c r="G91" s="1">
        <v>1</v>
      </c>
      <c r="H91" s="1">
        <v>23</v>
      </c>
      <c r="I91">
        <v>76</v>
      </c>
      <c r="J91">
        <v>215</v>
      </c>
      <c r="K91" s="1" t="s">
        <v>90</v>
      </c>
      <c r="L91">
        <v>39</v>
      </c>
      <c r="M91">
        <v>8852</v>
      </c>
      <c r="N91">
        <v>78</v>
      </c>
    </row>
    <row r="92" spans="1:14" x14ac:dyDescent="0.35">
      <c r="A92" t="str">
        <f>LOWER(Table1[[#This Row],[position]]) &amp; "_" &amp; TEXT(DATE(Table1[[#This Row],[season]], 1, 1), "yyyy") &amp; "_" &amp; LOWER(_xlfn.TEXTAFTER(Table1[[#This Row],[player_name]], " ", -1))</f>
        <v>qb_2020_tagovailoa</v>
      </c>
      <c r="B92" s="1" t="s">
        <v>133</v>
      </c>
      <c r="C92">
        <v>2020</v>
      </c>
      <c r="D92" s="1" t="s">
        <v>27</v>
      </c>
      <c r="E92" t="s">
        <v>35</v>
      </c>
      <c r="F92" cm="1">
        <f t="array" ref="F92">VALUE(INDEX(_xlfn.TEXTSPLIT(Table1[[#This Row],[player_id]], "_"), 2)) / Table1[[#This Row],[season]]</f>
        <v>1</v>
      </c>
      <c r="G92" s="1">
        <v>5</v>
      </c>
      <c r="H92" s="1">
        <v>22</v>
      </c>
      <c r="I92">
        <v>73</v>
      </c>
      <c r="J92">
        <v>225</v>
      </c>
      <c r="K92" s="1" t="s">
        <v>42</v>
      </c>
      <c r="L92">
        <v>33</v>
      </c>
      <c r="M92">
        <v>7442</v>
      </c>
      <c r="N92">
        <v>87</v>
      </c>
    </row>
    <row r="93" spans="1:14" x14ac:dyDescent="0.35">
      <c r="A93" t="str">
        <f>LOWER(Table1[[#This Row],[position]]) &amp; "_" &amp; TEXT(DATE(Table1[[#This Row],[season]], 1, 1), "yyyy") &amp; "_" &amp; LOWER(_xlfn.TEXTAFTER(Table1[[#This Row],[player_name]], " ", -1))</f>
        <v>qb_2020_herbert</v>
      </c>
      <c r="B93" s="1" t="s">
        <v>134</v>
      </c>
      <c r="C93">
        <v>2020</v>
      </c>
      <c r="D93" s="1" t="s">
        <v>27</v>
      </c>
      <c r="E93" t="s">
        <v>36</v>
      </c>
      <c r="F93" cm="1">
        <f t="array" ref="F93">VALUE(INDEX(_xlfn.TEXTSPLIT(Table1[[#This Row],[player_id]], "_"), 2)) / Table1[[#This Row],[season]]</f>
        <v>1</v>
      </c>
      <c r="G93" s="1">
        <v>6</v>
      </c>
      <c r="H93" s="1">
        <v>22</v>
      </c>
      <c r="I93">
        <v>78</v>
      </c>
      <c r="J93">
        <v>236</v>
      </c>
      <c r="K93" s="1" t="s">
        <v>41</v>
      </c>
      <c r="L93">
        <v>44</v>
      </c>
      <c r="M93">
        <v>10541</v>
      </c>
      <c r="N93">
        <v>95</v>
      </c>
    </row>
    <row r="94" spans="1:14" x14ac:dyDescent="0.35">
      <c r="A94" t="str">
        <f>LOWER(Table1[[#This Row],[position]]) &amp; "_" &amp; TEXT(DATE(Table1[[#This Row],[season]], 1, 1), "yyyy") &amp; "_" &amp; LOWER(_xlfn.TEXTAFTER(Table1[[#This Row],[player_name]], " ", -1))</f>
        <v>wr_2020_ruggs-iii</v>
      </c>
      <c r="B94" s="1" t="s">
        <v>143</v>
      </c>
      <c r="C94">
        <v>2020</v>
      </c>
      <c r="D94" s="1" t="s">
        <v>28</v>
      </c>
      <c r="E94" t="s">
        <v>32</v>
      </c>
      <c r="F94" cm="1">
        <f t="array" ref="F94">VALUE(INDEX(_xlfn.TEXTSPLIT(Table1[[#This Row],[player_id]], "_"), 2)) / Table1[[#This Row],[season]]</f>
        <v>1</v>
      </c>
      <c r="G94" s="1">
        <v>12</v>
      </c>
      <c r="H94" s="1">
        <v>21</v>
      </c>
      <c r="I94">
        <v>72</v>
      </c>
      <c r="J94">
        <v>190</v>
      </c>
      <c r="K94" s="1" t="s">
        <v>42</v>
      </c>
      <c r="L94">
        <v>41</v>
      </c>
      <c r="M94">
        <v>1716</v>
      </c>
      <c r="N94">
        <v>24</v>
      </c>
    </row>
    <row r="95" spans="1:14" x14ac:dyDescent="0.35">
      <c r="A95" t="str">
        <f>LOWER(Table1[[#This Row],[position]]) &amp; "_" &amp; TEXT(DATE(Table1[[#This Row],[season]], 1, 1), "yyyy") &amp; "_" &amp; LOWER(_xlfn.TEXTAFTER(Table1[[#This Row],[player_name]], " ", -1))</f>
        <v>wr_2020_jeudy</v>
      </c>
      <c r="B95" s="1" t="s">
        <v>135</v>
      </c>
      <c r="C95">
        <v>2020</v>
      </c>
      <c r="D95" s="1" t="s">
        <v>28</v>
      </c>
      <c r="E95" t="s">
        <v>63</v>
      </c>
      <c r="F95" cm="1">
        <f t="array" ref="F95">VALUE(INDEX(_xlfn.TEXTSPLIT(Table1[[#This Row],[player_id]], "_"), 2)) / Table1[[#This Row],[season]]</f>
        <v>1</v>
      </c>
      <c r="G95" s="1">
        <v>15</v>
      </c>
      <c r="H95" s="1">
        <v>21</v>
      </c>
      <c r="I95">
        <v>73</v>
      </c>
      <c r="J95">
        <v>195</v>
      </c>
      <c r="K95" s="1" t="s">
        <v>42</v>
      </c>
      <c r="L95">
        <v>42</v>
      </c>
      <c r="M95">
        <v>2742</v>
      </c>
      <c r="N95">
        <v>26</v>
      </c>
    </row>
    <row r="96" spans="1:14" x14ac:dyDescent="0.35">
      <c r="A96" t="str">
        <f>LOWER(Table1[[#This Row],[position]]) &amp; "_" &amp; TEXT(DATE(Table1[[#This Row],[season]], 1, 1), "yyyy") &amp; "_" &amp; LOWER(_xlfn.TEXTAFTER(Table1[[#This Row],[player_name]], " ", -1))</f>
        <v>wr_2020_lamb</v>
      </c>
      <c r="B96" s="1" t="s">
        <v>136</v>
      </c>
      <c r="C96">
        <v>2020</v>
      </c>
      <c r="D96" s="1" t="s">
        <v>28</v>
      </c>
      <c r="E96" t="s">
        <v>58</v>
      </c>
      <c r="F96" cm="1">
        <f t="array" ref="F96">VALUE(INDEX(_xlfn.TEXTSPLIT(Table1[[#This Row],[player_id]], "_"), 2)) / Table1[[#This Row],[season]]</f>
        <v>1</v>
      </c>
      <c r="G96" s="1">
        <v>17</v>
      </c>
      <c r="H96" s="1">
        <v>21</v>
      </c>
      <c r="I96">
        <v>74</v>
      </c>
      <c r="J96">
        <v>200</v>
      </c>
      <c r="K96" s="1" t="s">
        <v>113</v>
      </c>
      <c r="L96">
        <v>41</v>
      </c>
      <c r="M96">
        <v>3292</v>
      </c>
      <c r="N96">
        <v>32</v>
      </c>
    </row>
    <row r="97" spans="1:14" x14ac:dyDescent="0.35">
      <c r="A97" t="str">
        <f>LOWER(Table1[[#This Row],[position]]) &amp; "_" &amp; TEXT(DATE(Table1[[#This Row],[season]], 1, 1), "yyyy") &amp; "_" &amp; LOWER(_xlfn.TEXTAFTER(Table1[[#This Row],[player_name]], " ", -1))</f>
        <v>wr_2020_reagor</v>
      </c>
      <c r="B97" s="1" t="s">
        <v>137</v>
      </c>
      <c r="C97">
        <v>2020</v>
      </c>
      <c r="D97" s="1" t="s">
        <v>28</v>
      </c>
      <c r="E97" t="s">
        <v>37</v>
      </c>
      <c r="F97" cm="1">
        <f t="array" ref="F97">VALUE(INDEX(_xlfn.TEXTSPLIT(Table1[[#This Row],[player_id]], "_"), 2)) / Table1[[#This Row],[season]]</f>
        <v>1</v>
      </c>
      <c r="G97" s="1">
        <v>21</v>
      </c>
      <c r="H97" s="1">
        <v>21</v>
      </c>
      <c r="I97">
        <v>71</v>
      </c>
      <c r="J97">
        <v>197</v>
      </c>
      <c r="K97" s="1" t="s">
        <v>69</v>
      </c>
      <c r="L97">
        <v>39</v>
      </c>
      <c r="M97">
        <v>2248</v>
      </c>
      <c r="N97">
        <v>22</v>
      </c>
    </row>
    <row r="98" spans="1:14" x14ac:dyDescent="0.35">
      <c r="A98" t="str">
        <f>LOWER(Table1[[#This Row],[position]]) &amp; "_" &amp; TEXT(DATE(Table1[[#This Row],[season]], 1, 1), "yyyy") &amp; "_" &amp; LOWER(_xlfn.TEXTAFTER(Table1[[#This Row],[player_name]], " ", -1))</f>
        <v>wr_2020_jefferson</v>
      </c>
      <c r="B98" s="1" t="s">
        <v>138</v>
      </c>
      <c r="C98">
        <v>2020</v>
      </c>
      <c r="D98" s="1" t="s">
        <v>28</v>
      </c>
      <c r="E98" t="s">
        <v>62</v>
      </c>
      <c r="F98" cm="1">
        <f t="array" ref="F98">VALUE(INDEX(_xlfn.TEXTSPLIT(Table1[[#This Row],[player_id]], "_"), 2)) / Table1[[#This Row],[season]]</f>
        <v>1</v>
      </c>
      <c r="G98" s="1">
        <v>22</v>
      </c>
      <c r="H98" s="1">
        <v>21</v>
      </c>
      <c r="I98">
        <v>73</v>
      </c>
      <c r="J98">
        <v>195</v>
      </c>
      <c r="K98" s="1" t="s">
        <v>90</v>
      </c>
      <c r="L98">
        <v>34</v>
      </c>
      <c r="M98">
        <v>2415</v>
      </c>
      <c r="N98">
        <v>24</v>
      </c>
    </row>
    <row r="99" spans="1:14" x14ac:dyDescent="0.35">
      <c r="A99" t="str">
        <f>LOWER(Table1[[#This Row],[position]]) &amp; "_" &amp; TEXT(DATE(Table1[[#This Row],[season]], 1, 1), "yyyy") &amp; "_" &amp; LOWER(_xlfn.TEXTAFTER(Table1[[#This Row],[player_name]], " ", -1))</f>
        <v>wr_2020_aiyuk</v>
      </c>
      <c r="B99" s="1" t="s">
        <v>139</v>
      </c>
      <c r="C99">
        <v>2020</v>
      </c>
      <c r="D99" s="1" t="s">
        <v>28</v>
      </c>
      <c r="E99" t="s">
        <v>144</v>
      </c>
      <c r="F99" cm="1">
        <f t="array" ref="F99">VALUE(INDEX(_xlfn.TEXTSPLIT(Table1[[#This Row],[player_id]], "_"), 2)) / Table1[[#This Row],[season]]</f>
        <v>1</v>
      </c>
      <c r="G99" s="1">
        <v>25</v>
      </c>
      <c r="H99" s="1">
        <v>22</v>
      </c>
      <c r="I99">
        <v>72</v>
      </c>
      <c r="J99">
        <v>200</v>
      </c>
      <c r="K99" s="1" t="s">
        <v>131</v>
      </c>
      <c r="L99">
        <v>25</v>
      </c>
      <c r="M99">
        <v>1666</v>
      </c>
      <c r="N99">
        <v>11</v>
      </c>
    </row>
    <row r="100" spans="1:14" x14ac:dyDescent="0.35">
      <c r="A100" t="str">
        <f>LOWER(Table1[[#This Row],[position]]) &amp; "_" &amp; TEXT(DATE(Table1[[#This Row],[season]], 1, 1), "yyyy") &amp; "_" &amp; LOWER(_xlfn.TEXTAFTER(Table1[[#This Row],[player_name]], " ", -1))</f>
        <v>qb_2020_love</v>
      </c>
      <c r="B100" s="1" t="s">
        <v>140</v>
      </c>
      <c r="C100">
        <v>2020</v>
      </c>
      <c r="D100" s="1" t="s">
        <v>27</v>
      </c>
      <c r="E100" t="s">
        <v>145</v>
      </c>
      <c r="F100" cm="1">
        <f t="array" ref="F100">VALUE(INDEX(_xlfn.TEXTSPLIT(Table1[[#This Row],[player_id]], "_"), 2)) / Table1[[#This Row],[season]]</f>
        <v>1</v>
      </c>
      <c r="G100" s="1">
        <v>26</v>
      </c>
      <c r="H100" s="1">
        <v>21</v>
      </c>
      <c r="I100">
        <v>76</v>
      </c>
      <c r="J100">
        <v>219</v>
      </c>
      <c r="K100" s="1" t="s">
        <v>142</v>
      </c>
      <c r="L100">
        <v>38</v>
      </c>
      <c r="M100">
        <v>8600</v>
      </c>
      <c r="N100">
        <v>60</v>
      </c>
    </row>
    <row r="101" spans="1:14" x14ac:dyDescent="0.35">
      <c r="A101" t="str">
        <f>LOWER(Table1[[#This Row],[position]]) &amp; "_" &amp; TEXT(DATE(Table1[[#This Row],[season]], 1, 1), "yyyy") &amp; "_" &amp; LOWER(_xlfn.TEXTAFTER(Table1[[#This Row],[player_name]], " ", -1))</f>
        <v>rb_2020_edwards-helaire</v>
      </c>
      <c r="B101" s="1" t="s">
        <v>141</v>
      </c>
      <c r="C101">
        <v>2020</v>
      </c>
      <c r="D101" s="1" t="s">
        <v>29</v>
      </c>
      <c r="E101" t="s">
        <v>87</v>
      </c>
      <c r="F101" cm="1">
        <f t="array" ref="F101">VALUE(INDEX(_xlfn.TEXTSPLIT(Table1[[#This Row],[player_id]], "_"), 2)) / Table1[[#This Row],[season]]</f>
        <v>1</v>
      </c>
      <c r="G101" s="1">
        <v>32</v>
      </c>
      <c r="H101" s="1">
        <v>21</v>
      </c>
      <c r="I101">
        <v>67</v>
      </c>
      <c r="J101">
        <v>207</v>
      </c>
      <c r="K101" s="1" t="s">
        <v>90</v>
      </c>
      <c r="L101">
        <v>41</v>
      </c>
      <c r="M101">
        <v>2103</v>
      </c>
      <c r="N101">
        <v>23</v>
      </c>
    </row>
    <row r="102" spans="1:14" x14ac:dyDescent="0.35">
      <c r="A102" t="str">
        <f>LOWER(Table1[[#This Row],[position]]) &amp; "_" &amp; TEXT(DATE(Table1[[#This Row],[season]], 1, 1), "yyyy") &amp; "_" &amp; LOWER(_xlfn.TEXTAFTER(Table1[[#This Row],[player_name]], " ", -1))</f>
        <v>qb_2021_lawrence</v>
      </c>
      <c r="B102" s="1" t="s">
        <v>146</v>
      </c>
      <c r="C102">
        <v>2021</v>
      </c>
      <c r="D102" s="1" t="s">
        <v>27</v>
      </c>
      <c r="E102" t="s">
        <v>84</v>
      </c>
      <c r="F102" cm="1">
        <f t="array" ref="F102">VALUE(INDEX(_xlfn.TEXTSPLIT(Table1[[#This Row],[player_id]], "_"), 2)) / Table1[[#This Row],[season]]</f>
        <v>1</v>
      </c>
      <c r="G102" s="1">
        <v>1</v>
      </c>
      <c r="H102" s="1">
        <v>21</v>
      </c>
      <c r="I102">
        <v>78</v>
      </c>
      <c r="J102">
        <v>220</v>
      </c>
      <c r="K102" s="1" t="s">
        <v>92</v>
      </c>
      <c r="L102">
        <v>40</v>
      </c>
      <c r="M102">
        <v>10098</v>
      </c>
      <c r="N102">
        <v>90</v>
      </c>
    </row>
    <row r="103" spans="1:14" x14ac:dyDescent="0.35">
      <c r="A103" t="str">
        <f>LOWER(Table1[[#This Row],[position]]) &amp; "_" &amp; TEXT(DATE(Table1[[#This Row],[season]], 1, 1), "yyyy") &amp; "_" &amp; LOWER(_xlfn.TEXTAFTER(Table1[[#This Row],[player_name]], " ", -1))</f>
        <v>qb_2021_wilson</v>
      </c>
      <c r="B103" s="1" t="s">
        <v>147</v>
      </c>
      <c r="C103">
        <v>2021</v>
      </c>
      <c r="D103" s="1" t="s">
        <v>27</v>
      </c>
      <c r="E103" t="s">
        <v>107</v>
      </c>
      <c r="F103" cm="1">
        <f t="array" ref="F103">VALUE(INDEX(_xlfn.TEXTSPLIT(Table1[[#This Row],[player_id]], "_"), 2)) / Table1[[#This Row],[season]]</f>
        <v>1</v>
      </c>
      <c r="G103" s="1">
        <v>2</v>
      </c>
      <c r="H103" s="1">
        <v>22</v>
      </c>
      <c r="I103">
        <v>74</v>
      </c>
      <c r="J103">
        <v>214</v>
      </c>
      <c r="K103" s="1" t="s">
        <v>159</v>
      </c>
      <c r="L103">
        <v>30</v>
      </c>
      <c r="M103">
        <v>7652</v>
      </c>
      <c r="N103">
        <v>56</v>
      </c>
    </row>
    <row r="104" spans="1:14" x14ac:dyDescent="0.35">
      <c r="A104" t="str">
        <f>LOWER(Table1[[#This Row],[position]]) &amp; "_" &amp; TEXT(DATE(Table1[[#This Row],[season]], 1, 1), "yyyy") &amp; "_" &amp; LOWER(_xlfn.TEXTAFTER(Table1[[#This Row],[player_name]], " ", -1))</f>
        <v>qb_2021_lance</v>
      </c>
      <c r="B104" s="1" t="s">
        <v>148</v>
      </c>
      <c r="C104">
        <v>2021</v>
      </c>
      <c r="D104" s="1" t="s">
        <v>27</v>
      </c>
      <c r="E104" t="s">
        <v>144</v>
      </c>
      <c r="F104" cm="1">
        <f t="array" ref="F104">VALUE(INDEX(_xlfn.TEXTSPLIT(Table1[[#This Row],[player_id]], "_"), 2)) / Table1[[#This Row],[season]]</f>
        <v>1</v>
      </c>
      <c r="G104" s="1">
        <v>3</v>
      </c>
      <c r="H104" s="1">
        <v>21</v>
      </c>
      <c r="I104">
        <v>76</v>
      </c>
      <c r="J104">
        <v>226</v>
      </c>
      <c r="K104" s="1" t="s">
        <v>65</v>
      </c>
      <c r="L104">
        <v>19</v>
      </c>
      <c r="M104">
        <v>2786</v>
      </c>
      <c r="N104">
        <v>28</v>
      </c>
    </row>
    <row r="105" spans="1:14" x14ac:dyDescent="0.35">
      <c r="A105" t="str">
        <f>LOWER(Table1[[#This Row],[position]]) &amp; "_" &amp; TEXT(DATE(Table1[[#This Row],[season]], 1, 1), "yyyy") &amp; "_" &amp; LOWER(_xlfn.TEXTAFTER(Table1[[#This Row],[player_name]], " ", -1))</f>
        <v>te_2021_pitts</v>
      </c>
      <c r="B105" s="1" t="s">
        <v>149</v>
      </c>
      <c r="C105">
        <v>2021</v>
      </c>
      <c r="D105" s="1" t="s">
        <v>83</v>
      </c>
      <c r="E105" t="s">
        <v>110</v>
      </c>
      <c r="F105" cm="1">
        <f t="array" ref="F105">VALUE(INDEX(_xlfn.TEXTSPLIT(Table1[[#This Row],[player_id]], "_"), 2)) / Table1[[#This Row],[season]]</f>
        <v>1</v>
      </c>
      <c r="G105" s="1">
        <v>4</v>
      </c>
      <c r="H105" s="1">
        <v>20</v>
      </c>
      <c r="I105">
        <v>78</v>
      </c>
      <c r="J105">
        <v>250</v>
      </c>
      <c r="K105" s="1" t="s">
        <v>160</v>
      </c>
      <c r="L105">
        <v>32</v>
      </c>
      <c r="M105">
        <v>1492</v>
      </c>
      <c r="N105">
        <v>18</v>
      </c>
    </row>
    <row r="106" spans="1:14" x14ac:dyDescent="0.35">
      <c r="A106" t="str">
        <f>LOWER(Table1[[#This Row],[position]]) &amp; "_" &amp; TEXT(DATE(Table1[[#This Row],[season]], 1, 1), "yyyy") &amp; "_" &amp; LOWER(_xlfn.TEXTAFTER(Table1[[#This Row],[player_name]], " ", -1))</f>
        <v>wr_2021_chase</v>
      </c>
      <c r="B106" s="1" t="s">
        <v>150</v>
      </c>
      <c r="C106">
        <v>2021</v>
      </c>
      <c r="D106" s="1" t="s">
        <v>28</v>
      </c>
      <c r="E106" t="s">
        <v>86</v>
      </c>
      <c r="F106" cm="1">
        <f t="array" ref="F106">VALUE(INDEX(_xlfn.TEXTSPLIT(Table1[[#This Row],[player_id]], "_"), 2)) / Table1[[#This Row],[season]]</f>
        <v>1</v>
      </c>
      <c r="G106" s="1">
        <v>5</v>
      </c>
      <c r="H106" s="1">
        <v>21</v>
      </c>
      <c r="I106">
        <v>72</v>
      </c>
      <c r="J106">
        <v>200</v>
      </c>
      <c r="K106" s="1" t="s">
        <v>90</v>
      </c>
      <c r="L106">
        <v>27</v>
      </c>
      <c r="M106">
        <v>2093</v>
      </c>
      <c r="N106">
        <v>23</v>
      </c>
    </row>
    <row r="107" spans="1:14" x14ac:dyDescent="0.35">
      <c r="A107" t="str">
        <f>LOWER(Table1[[#This Row],[position]]) &amp; "_" &amp; TEXT(DATE(Table1[[#This Row],[season]], 1, 1), "yyyy") &amp; "_" &amp; LOWER(_xlfn.TEXTAFTER(Table1[[#This Row],[player_name]], " ", -1))</f>
        <v>wr_2021_waddle</v>
      </c>
      <c r="B107" s="1" t="s">
        <v>151</v>
      </c>
      <c r="C107">
        <v>2021</v>
      </c>
      <c r="D107" s="1" t="s">
        <v>28</v>
      </c>
      <c r="E107" t="s">
        <v>35</v>
      </c>
      <c r="F107" cm="1">
        <f t="array" ref="F107">VALUE(INDEX(_xlfn.TEXTSPLIT(Table1[[#This Row],[player_id]], "_"), 2)) / Table1[[#This Row],[season]]</f>
        <v>1</v>
      </c>
      <c r="G107" s="1">
        <v>6</v>
      </c>
      <c r="H107" s="1">
        <v>22</v>
      </c>
      <c r="I107">
        <v>70</v>
      </c>
      <c r="J107">
        <v>185</v>
      </c>
      <c r="K107" s="1" t="s">
        <v>42</v>
      </c>
      <c r="L107">
        <v>34</v>
      </c>
      <c r="M107">
        <v>1999</v>
      </c>
      <c r="N107">
        <v>17</v>
      </c>
    </row>
    <row r="108" spans="1:14" x14ac:dyDescent="0.35">
      <c r="A108" t="str">
        <f>LOWER(Table1[[#This Row],[position]]) &amp; "_" &amp; TEXT(DATE(Table1[[#This Row],[season]], 1, 1), "yyyy") &amp; "_" &amp; LOWER(_xlfn.TEXTAFTER(Table1[[#This Row],[player_name]], " ", -1))</f>
        <v>wr_2021_smith</v>
      </c>
      <c r="B108" s="1" t="s">
        <v>152</v>
      </c>
      <c r="C108">
        <v>2021</v>
      </c>
      <c r="D108" s="1" t="s">
        <v>28</v>
      </c>
      <c r="E108" t="s">
        <v>37</v>
      </c>
      <c r="F108" cm="1">
        <f t="array" ref="F108">VALUE(INDEX(_xlfn.TEXTSPLIT(Table1[[#This Row],[player_id]], "_"), 2)) / Table1[[#This Row],[season]]</f>
        <v>1</v>
      </c>
      <c r="G108" s="1">
        <v>10</v>
      </c>
      <c r="H108" s="1">
        <v>22</v>
      </c>
      <c r="I108">
        <v>72</v>
      </c>
      <c r="J108">
        <v>170</v>
      </c>
      <c r="K108" s="1" t="s">
        <v>42</v>
      </c>
      <c r="L108">
        <v>54</v>
      </c>
      <c r="M108">
        <v>3965</v>
      </c>
      <c r="N108">
        <v>46</v>
      </c>
    </row>
    <row r="109" spans="1:14" x14ac:dyDescent="0.35">
      <c r="A109" t="str">
        <f>LOWER(Table1[[#This Row],[position]]) &amp; "_" &amp; TEXT(DATE(Table1[[#This Row],[season]], 1, 1), "yyyy") &amp; "_" &amp; LOWER(_xlfn.TEXTAFTER(Table1[[#This Row],[player_name]], " ", -1))</f>
        <v>qb_2021_fields</v>
      </c>
      <c r="B109" s="1" t="s">
        <v>153</v>
      </c>
      <c r="C109">
        <v>2021</v>
      </c>
      <c r="D109" s="1" t="s">
        <v>27</v>
      </c>
      <c r="E109" t="s">
        <v>33</v>
      </c>
      <c r="F109" cm="1">
        <f t="array" ref="F109">VALUE(INDEX(_xlfn.TEXTSPLIT(Table1[[#This Row],[player_id]], "_"), 2)) / Table1[[#This Row],[season]]</f>
        <v>1</v>
      </c>
      <c r="G109" s="1">
        <v>11</v>
      </c>
      <c r="H109" s="1">
        <v>22</v>
      </c>
      <c r="I109">
        <v>75</v>
      </c>
      <c r="J109">
        <v>227</v>
      </c>
      <c r="K109" s="1" t="s">
        <v>66</v>
      </c>
      <c r="L109">
        <v>34</v>
      </c>
      <c r="M109">
        <v>5701</v>
      </c>
      <c r="N109">
        <v>67</v>
      </c>
    </row>
    <row r="110" spans="1:14" x14ac:dyDescent="0.35">
      <c r="A110" t="str">
        <f>LOWER(Table1[[#This Row],[position]]) &amp; "_" &amp; TEXT(DATE(Table1[[#This Row],[season]], 1, 1), "yyyy") &amp; "_" &amp; LOWER(_xlfn.TEXTAFTER(Table1[[#This Row],[player_name]], " ", -1))</f>
        <v>qb_2021_jones</v>
      </c>
      <c r="B110" s="1" t="s">
        <v>154</v>
      </c>
      <c r="C110">
        <v>2021</v>
      </c>
      <c r="D110" s="1" t="s">
        <v>27</v>
      </c>
      <c r="E110" t="s">
        <v>112</v>
      </c>
      <c r="F110" cm="1">
        <f t="array" ref="F110">VALUE(INDEX(_xlfn.TEXTSPLIT(Table1[[#This Row],[player_id]], "_"), 2)) / Table1[[#This Row],[season]]</f>
        <v>1</v>
      </c>
      <c r="G110" s="1">
        <v>15</v>
      </c>
      <c r="H110" s="1">
        <v>23</v>
      </c>
      <c r="I110">
        <v>75</v>
      </c>
      <c r="J110">
        <v>220</v>
      </c>
      <c r="K110" s="1" t="s">
        <v>42</v>
      </c>
      <c r="L110">
        <v>39</v>
      </c>
      <c r="M110">
        <v>6126</v>
      </c>
      <c r="N110">
        <v>56</v>
      </c>
    </row>
    <row r="111" spans="1:14" x14ac:dyDescent="0.35">
      <c r="A111" t="str">
        <f>LOWER(Table1[[#This Row],[position]]) &amp; "_" &amp; TEXT(DATE(Table1[[#This Row],[season]], 1, 1), "yyyy") &amp; "_" &amp; LOWER(_xlfn.TEXTAFTER(Table1[[#This Row],[player_name]], " ", -1))</f>
        <v>wr_2021_toney</v>
      </c>
      <c r="B111" s="1" t="s">
        <v>155</v>
      </c>
      <c r="C111">
        <v>2021</v>
      </c>
      <c r="D111" s="1" t="s">
        <v>28</v>
      </c>
      <c r="E111" t="s">
        <v>88</v>
      </c>
      <c r="F111" cm="1">
        <f t="array" ref="F111">VALUE(INDEX(_xlfn.TEXTSPLIT(Table1[[#This Row],[player_id]], "_"), 2)) / Table1[[#This Row],[season]]</f>
        <v>1</v>
      </c>
      <c r="G111" s="1">
        <v>20</v>
      </c>
      <c r="H111" s="1">
        <v>22</v>
      </c>
      <c r="I111">
        <v>72</v>
      </c>
      <c r="J111">
        <v>193</v>
      </c>
      <c r="K111" s="1" t="s">
        <v>160</v>
      </c>
      <c r="L111">
        <v>38</v>
      </c>
      <c r="M111">
        <v>1590</v>
      </c>
      <c r="N111">
        <v>12</v>
      </c>
    </row>
    <row r="112" spans="1:14" x14ac:dyDescent="0.35">
      <c r="A112" t="str">
        <f>LOWER(Table1[[#This Row],[position]]) &amp; "_" &amp; TEXT(DATE(Table1[[#This Row],[season]], 1, 1), "yyyy") &amp; "_" &amp; LOWER(_xlfn.TEXTAFTER(Table1[[#This Row],[player_name]], " ", -1))</f>
        <v>rb_2021_harris</v>
      </c>
      <c r="B112" s="1" t="s">
        <v>156</v>
      </c>
      <c r="C112">
        <v>2021</v>
      </c>
      <c r="D112" s="1" t="s">
        <v>29</v>
      </c>
      <c r="E112" t="s">
        <v>162</v>
      </c>
      <c r="F112" cm="1">
        <f t="array" ref="F112">VALUE(INDEX(_xlfn.TEXTSPLIT(Table1[[#This Row],[player_id]], "_"), 2)) / Table1[[#This Row],[season]]</f>
        <v>1</v>
      </c>
      <c r="G112" s="1">
        <v>24</v>
      </c>
      <c r="H112" s="1">
        <v>23</v>
      </c>
      <c r="I112">
        <v>73</v>
      </c>
      <c r="J112">
        <v>242</v>
      </c>
      <c r="K112" s="1" t="s">
        <v>42</v>
      </c>
      <c r="L112">
        <v>55</v>
      </c>
      <c r="M112">
        <v>3843</v>
      </c>
      <c r="N112">
        <v>46</v>
      </c>
    </row>
    <row r="113" spans="1:14" x14ac:dyDescent="0.35">
      <c r="A113" t="str">
        <f>LOWER(Table1[[#This Row],[position]]) &amp; "_" &amp; TEXT(DATE(Table1[[#This Row],[season]], 1, 1), "yyyy") &amp; "_" &amp; LOWER(_xlfn.TEXTAFTER(Table1[[#This Row],[player_name]], " ", -1))</f>
        <v>rb_2021_etienne</v>
      </c>
      <c r="B113" s="1" t="s">
        <v>157</v>
      </c>
      <c r="C113">
        <v>2021</v>
      </c>
      <c r="D113" s="1" t="s">
        <v>29</v>
      </c>
      <c r="E113" t="s">
        <v>84</v>
      </c>
      <c r="F113" cm="1">
        <f t="array" ref="F113">VALUE(INDEX(_xlfn.TEXTSPLIT(Table1[[#This Row],[player_id]], "_"), 2)) / Table1[[#This Row],[season]]</f>
        <v>1</v>
      </c>
      <c r="G113" s="1">
        <v>25</v>
      </c>
      <c r="H113" s="1">
        <v>22</v>
      </c>
      <c r="I113">
        <v>70</v>
      </c>
      <c r="J113">
        <v>215</v>
      </c>
      <c r="K113" s="1" t="s">
        <v>92</v>
      </c>
      <c r="L113">
        <v>55</v>
      </c>
      <c r="M113">
        <v>4952</v>
      </c>
      <c r="N113">
        <v>70</v>
      </c>
    </row>
    <row r="114" spans="1:14" x14ac:dyDescent="0.35">
      <c r="A114" t="str">
        <f>LOWER(Table1[[#This Row],[position]]) &amp; "_" &amp; TEXT(DATE(Table1[[#This Row],[season]], 1, 1), "yyyy") &amp; "_" &amp; LOWER(_xlfn.TEXTAFTER(Table1[[#This Row],[player_name]], " ", -1))</f>
        <v>wr_2021_bateman</v>
      </c>
      <c r="B114" s="1" t="s">
        <v>158</v>
      </c>
      <c r="C114">
        <v>2021</v>
      </c>
      <c r="D114" s="1" t="s">
        <v>28</v>
      </c>
      <c r="E114" t="s">
        <v>38</v>
      </c>
      <c r="F114" cm="1">
        <f t="array" ref="F114">VALUE(INDEX(_xlfn.TEXTSPLIT(Table1[[#This Row],[player_id]], "_"), 2)) / Table1[[#This Row],[season]]</f>
        <v>1</v>
      </c>
      <c r="G114" s="1">
        <v>27</v>
      </c>
      <c r="H114" s="1">
        <v>21</v>
      </c>
      <c r="I114">
        <v>73</v>
      </c>
      <c r="J114">
        <v>193</v>
      </c>
      <c r="K114" s="1" t="s">
        <v>161</v>
      </c>
      <c r="L114">
        <v>31</v>
      </c>
      <c r="M114">
        <v>2395</v>
      </c>
      <c r="N114">
        <v>19</v>
      </c>
    </row>
    <row r="115" spans="1:14" x14ac:dyDescent="0.35">
      <c r="A115" t="str">
        <f>LOWER(Table1[[#This Row],[position]]) &amp; "_" &amp; TEXT(DATE(Table1[[#This Row],[season]], 1, 1), "yyyy") &amp; "_" &amp; LOWER(_xlfn.TEXTAFTER(Table1[[#This Row],[player_name]], " ", -1))</f>
        <v>wr_2022_london</v>
      </c>
      <c r="B115" s="1" t="s">
        <v>163</v>
      </c>
      <c r="C115">
        <v>2022</v>
      </c>
      <c r="D115" s="1" t="s">
        <v>28</v>
      </c>
      <c r="E115" t="s">
        <v>110</v>
      </c>
      <c r="F115" cm="1">
        <f t="array" ref="F115">VALUE(INDEX(_xlfn.TEXTSPLIT(Table1[[#This Row],[player_id]], "_"), 2)) / Table1[[#This Row],[season]]</f>
        <v>1</v>
      </c>
      <c r="G115" s="1">
        <v>8</v>
      </c>
      <c r="H115" s="1">
        <v>21</v>
      </c>
      <c r="I115">
        <v>77</v>
      </c>
      <c r="J115">
        <v>215</v>
      </c>
      <c r="K115" s="1" t="s">
        <v>47</v>
      </c>
      <c r="L115">
        <v>27</v>
      </c>
      <c r="M115">
        <v>2153</v>
      </c>
      <c r="N115">
        <v>15</v>
      </c>
    </row>
    <row r="116" spans="1:14" x14ac:dyDescent="0.35">
      <c r="A116" t="str">
        <f>LOWER(Table1[[#This Row],[position]]) &amp; "_" &amp; TEXT(DATE(Table1[[#This Row],[season]], 1, 1), "yyyy") &amp; "_" &amp; LOWER(_xlfn.TEXTAFTER(Table1[[#This Row],[player_name]], " ", -1))</f>
        <v>wr_2022_wilson</v>
      </c>
      <c r="B116" s="1" t="s">
        <v>164</v>
      </c>
      <c r="C116">
        <v>2022</v>
      </c>
      <c r="D116" s="1" t="s">
        <v>28</v>
      </c>
      <c r="E116" t="s">
        <v>107</v>
      </c>
      <c r="F116" cm="1">
        <f t="array" ref="F116">VALUE(INDEX(_xlfn.TEXTSPLIT(Table1[[#This Row],[player_id]], "_"), 2)) / Table1[[#This Row],[season]]</f>
        <v>1</v>
      </c>
      <c r="G116" s="1">
        <v>10</v>
      </c>
      <c r="H116" s="1">
        <v>22</v>
      </c>
      <c r="I116">
        <v>72</v>
      </c>
      <c r="J116">
        <v>183</v>
      </c>
      <c r="K116" s="1" t="s">
        <v>66</v>
      </c>
      <c r="L116">
        <v>33</v>
      </c>
      <c r="M116">
        <v>2213</v>
      </c>
      <c r="N116">
        <v>23</v>
      </c>
    </row>
    <row r="117" spans="1:14" x14ac:dyDescent="0.35">
      <c r="A117" t="str">
        <f>LOWER(Table1[[#This Row],[position]]) &amp; "_" &amp; TEXT(DATE(Table1[[#This Row],[season]], 1, 1), "yyyy") &amp; "_" &amp; LOWER(_xlfn.TEXTAFTER(Table1[[#This Row],[player_name]], " ", -1))</f>
        <v>wr_2022_olave</v>
      </c>
      <c r="B117" s="1" t="s">
        <v>165</v>
      </c>
      <c r="C117">
        <v>2022</v>
      </c>
      <c r="D117" s="1" t="s">
        <v>28</v>
      </c>
      <c r="E117" t="s">
        <v>172</v>
      </c>
      <c r="F117" cm="1">
        <f t="array" ref="F117">VALUE(INDEX(_xlfn.TEXTSPLIT(Table1[[#This Row],[player_id]], "_"), 2)) / Table1[[#This Row],[season]]</f>
        <v>1</v>
      </c>
      <c r="G117" s="1">
        <v>11</v>
      </c>
      <c r="H117" s="1">
        <v>22</v>
      </c>
      <c r="I117">
        <v>72</v>
      </c>
      <c r="J117">
        <v>187</v>
      </c>
      <c r="K117" s="1" t="s">
        <v>66</v>
      </c>
      <c r="L117">
        <v>47</v>
      </c>
      <c r="M117">
        <v>2711</v>
      </c>
      <c r="N117">
        <v>35</v>
      </c>
    </row>
    <row r="118" spans="1:14" x14ac:dyDescent="0.35">
      <c r="A118" t="str">
        <f>LOWER(Table1[[#This Row],[position]]) &amp; "_" &amp; TEXT(DATE(Table1[[#This Row],[season]], 1, 1), "yyyy") &amp; "_" &amp; LOWER(_xlfn.TEXTAFTER(Table1[[#This Row],[player_name]], " ", -1))</f>
        <v>wr_2022_williams</v>
      </c>
      <c r="B118" s="1" t="s">
        <v>166</v>
      </c>
      <c r="C118">
        <v>2022</v>
      </c>
      <c r="D118" s="1" t="s">
        <v>28</v>
      </c>
      <c r="E118" t="s">
        <v>128</v>
      </c>
      <c r="F118" cm="1">
        <f t="array" ref="F118">VALUE(INDEX(_xlfn.TEXTSPLIT(Table1[[#This Row],[player_id]], "_"), 2)) / Table1[[#This Row],[season]]</f>
        <v>1</v>
      </c>
      <c r="G118" s="1">
        <v>12</v>
      </c>
      <c r="H118" s="1">
        <v>21</v>
      </c>
      <c r="I118">
        <v>73</v>
      </c>
      <c r="J118">
        <v>182</v>
      </c>
      <c r="K118" s="1" t="s">
        <v>42</v>
      </c>
      <c r="L118">
        <v>34</v>
      </c>
      <c r="M118">
        <v>1838</v>
      </c>
      <c r="N118">
        <v>18</v>
      </c>
    </row>
    <row r="119" spans="1:14" x14ac:dyDescent="0.35">
      <c r="A119" t="str">
        <f>LOWER(Table1[[#This Row],[position]]) &amp; "_" &amp; TEXT(DATE(Table1[[#This Row],[season]], 1, 1), "yyyy") &amp; "_" &amp; LOWER(_xlfn.TEXTAFTER(Table1[[#This Row],[player_name]], " ", -1))</f>
        <v>wr_2022_dotson</v>
      </c>
      <c r="B119" s="1" t="s">
        <v>167</v>
      </c>
      <c r="C119">
        <v>2022</v>
      </c>
      <c r="D119" s="1" t="s">
        <v>28</v>
      </c>
      <c r="E119" t="s">
        <v>61</v>
      </c>
      <c r="F119" cm="1">
        <f t="array" ref="F119">VALUE(INDEX(_xlfn.TEXTSPLIT(Table1[[#This Row],[player_id]], "_"), 2)) / Table1[[#This Row],[season]]</f>
        <v>1</v>
      </c>
      <c r="G119" s="1">
        <v>16</v>
      </c>
      <c r="H119" s="1">
        <v>22</v>
      </c>
      <c r="I119">
        <v>71</v>
      </c>
      <c r="J119">
        <v>184</v>
      </c>
      <c r="K119" s="1" t="s">
        <v>114</v>
      </c>
      <c r="L119">
        <v>42</v>
      </c>
      <c r="M119">
        <v>2757</v>
      </c>
      <c r="N119">
        <v>25</v>
      </c>
    </row>
    <row r="120" spans="1:14" x14ac:dyDescent="0.35">
      <c r="A120" t="str">
        <f>LOWER(Table1[[#This Row],[position]]) &amp; "_" &amp; TEXT(DATE(Table1[[#This Row],[season]], 1, 1), "yyyy") &amp; "_" &amp; LOWER(_xlfn.TEXTAFTER(Table1[[#This Row],[player_name]], " ", -1))</f>
        <v>wr_2022_burks</v>
      </c>
      <c r="B120" s="1" t="s">
        <v>168</v>
      </c>
      <c r="C120">
        <v>2022</v>
      </c>
      <c r="D120" s="1" t="s">
        <v>28</v>
      </c>
      <c r="E120" t="s">
        <v>31</v>
      </c>
      <c r="F120" cm="1">
        <f t="array" ref="F120">VALUE(INDEX(_xlfn.TEXTSPLIT(Table1[[#This Row],[player_id]], "_"), 2)) / Table1[[#This Row],[season]]</f>
        <v>1</v>
      </c>
      <c r="G120" s="1">
        <v>18</v>
      </c>
      <c r="H120" s="1">
        <v>22</v>
      </c>
      <c r="I120">
        <v>74</v>
      </c>
      <c r="J120">
        <v>225</v>
      </c>
      <c r="K120" s="1" t="s">
        <v>170</v>
      </c>
      <c r="L120">
        <v>32</v>
      </c>
      <c r="M120">
        <v>2399</v>
      </c>
      <c r="N120">
        <v>18</v>
      </c>
    </row>
    <row r="121" spans="1:14" x14ac:dyDescent="0.35">
      <c r="A121" t="str">
        <f>LOWER(Table1[[#This Row],[position]]) &amp; "_" &amp; TEXT(DATE(Table1[[#This Row],[season]], 1, 1), "yyyy") &amp; "_" &amp; LOWER(_xlfn.TEXTAFTER(Table1[[#This Row],[player_name]], " ", -1))</f>
        <v>qb_2022_pickett</v>
      </c>
      <c r="B121" s="1" t="s">
        <v>169</v>
      </c>
      <c r="C121">
        <v>2022</v>
      </c>
      <c r="D121" s="1" t="s">
        <v>27</v>
      </c>
      <c r="E121" t="s">
        <v>162</v>
      </c>
      <c r="F121" cm="1">
        <f t="array" ref="F121">VALUE(INDEX(_xlfn.TEXTSPLIT(Table1[[#This Row],[player_id]], "_"), 2)) / Table1[[#This Row],[season]]</f>
        <v>1</v>
      </c>
      <c r="G121" s="1">
        <v>20</v>
      </c>
      <c r="H121" s="1">
        <v>24</v>
      </c>
      <c r="I121">
        <v>75</v>
      </c>
      <c r="J121">
        <v>220</v>
      </c>
      <c r="K121" s="1" t="s">
        <v>171</v>
      </c>
      <c r="L121">
        <v>52</v>
      </c>
      <c r="M121">
        <v>12303</v>
      </c>
      <c r="N121">
        <v>81</v>
      </c>
    </row>
    <row r="122" spans="1:14" x14ac:dyDescent="0.35">
      <c r="A122" t="str">
        <f>LOWER(Table1[[#This Row],[position]]) &amp; "_" &amp; TEXT(DATE(Table1[[#This Row],[season]], 1, 1), "yyyy") &amp; "_" &amp; LOWER(_xlfn.TEXTAFTER(Table1[[#This Row],[player_name]], " ", -1))</f>
        <v>qb_2023_young</v>
      </c>
      <c r="B122" s="1" t="s">
        <v>173</v>
      </c>
      <c r="C122">
        <v>2023</v>
      </c>
      <c r="D122" s="1" t="s">
        <v>27</v>
      </c>
      <c r="E122" t="s">
        <v>85</v>
      </c>
      <c r="F122" cm="1">
        <f t="array" ref="F122">VALUE(INDEX(_xlfn.TEXTSPLIT(Table1[[#This Row],[player_id]], "_"), 2)) / Table1[[#This Row],[season]]</f>
        <v>1</v>
      </c>
      <c r="G122" s="1">
        <v>1</v>
      </c>
      <c r="H122" s="1">
        <v>22</v>
      </c>
      <c r="I122">
        <v>70</v>
      </c>
      <c r="J122">
        <v>204</v>
      </c>
      <c r="K122" s="1" t="s">
        <v>42</v>
      </c>
      <c r="L122">
        <v>35</v>
      </c>
      <c r="M122">
        <v>8356</v>
      </c>
      <c r="N122">
        <v>80</v>
      </c>
    </row>
    <row r="123" spans="1:14" x14ac:dyDescent="0.35">
      <c r="A123" t="str">
        <f>LOWER(Table1[[#This Row],[position]]) &amp; "_" &amp; TEXT(DATE(Table1[[#This Row],[season]], 1, 1), "yyyy") &amp; "_" &amp; LOWER(_xlfn.TEXTAFTER(Table1[[#This Row],[player_name]], " ", -1))</f>
        <v>qb_2023_stroud</v>
      </c>
      <c r="B123" s="1" t="s">
        <v>174</v>
      </c>
      <c r="C123">
        <v>2023</v>
      </c>
      <c r="D123" s="1" t="s">
        <v>27</v>
      </c>
      <c r="E123" t="s">
        <v>60</v>
      </c>
      <c r="F123" cm="1">
        <f t="array" ref="F123">VALUE(INDEX(_xlfn.TEXTSPLIT(Table1[[#This Row],[player_id]], "_"), 2)) / Table1[[#This Row],[season]]</f>
        <v>1</v>
      </c>
      <c r="G123" s="1">
        <v>2</v>
      </c>
      <c r="H123" s="1">
        <v>21</v>
      </c>
      <c r="I123">
        <v>75</v>
      </c>
      <c r="J123">
        <v>218</v>
      </c>
      <c r="K123" s="1" t="s">
        <v>66</v>
      </c>
      <c r="L123">
        <v>27</v>
      </c>
      <c r="M123">
        <v>8123</v>
      </c>
      <c r="N123">
        <v>85</v>
      </c>
    </row>
    <row r="124" spans="1:14" x14ac:dyDescent="0.35">
      <c r="A124" t="str">
        <f>LOWER(Table1[[#This Row],[position]]) &amp; "_" &amp; TEXT(DATE(Table1[[#This Row],[season]], 1, 1), "yyyy") &amp; "_" &amp; LOWER(_xlfn.TEXTAFTER(Table1[[#This Row],[player_name]], " ", -1))</f>
        <v>qb_2023_richardson</v>
      </c>
      <c r="B124" s="1" t="s">
        <v>175</v>
      </c>
      <c r="C124">
        <v>2023</v>
      </c>
      <c r="D124" s="1" t="s">
        <v>27</v>
      </c>
      <c r="E124" t="s">
        <v>39</v>
      </c>
      <c r="F124" cm="1">
        <f t="array" ref="F124">VALUE(INDEX(_xlfn.TEXTSPLIT(Table1[[#This Row],[player_id]], "_"), 2)) / Table1[[#This Row],[season]]</f>
        <v>1</v>
      </c>
      <c r="G124" s="1">
        <v>4</v>
      </c>
      <c r="H124" s="1">
        <v>21</v>
      </c>
      <c r="I124">
        <v>76</v>
      </c>
      <c r="J124">
        <v>244</v>
      </c>
      <c r="K124" s="1" t="s">
        <v>160</v>
      </c>
      <c r="L124">
        <v>24</v>
      </c>
      <c r="M124">
        <v>3105</v>
      </c>
      <c r="N124">
        <v>24</v>
      </c>
    </row>
    <row r="125" spans="1:14" x14ac:dyDescent="0.35">
      <c r="A125" t="str">
        <f>LOWER(Table1[[#This Row],[position]]) &amp; "_" &amp; TEXT(DATE(Table1[[#This Row],[season]], 1, 1), "yyyy") &amp; "_" &amp; LOWER(_xlfn.TEXTAFTER(Table1[[#This Row],[player_name]], " ", -1))</f>
        <v>rb_2023_robinson</v>
      </c>
      <c r="B125" s="1" t="s">
        <v>176</v>
      </c>
      <c r="C125">
        <v>2023</v>
      </c>
      <c r="D125" s="1" t="s">
        <v>29</v>
      </c>
      <c r="E125" t="s">
        <v>110</v>
      </c>
      <c r="F125" cm="1">
        <f t="array" ref="F125">VALUE(INDEX(_xlfn.TEXTSPLIT(Table1[[#This Row],[player_id]], "_"), 2)) / Table1[[#This Row],[season]]</f>
        <v>1</v>
      </c>
      <c r="G125" s="1">
        <v>8</v>
      </c>
      <c r="H125" s="1">
        <v>21</v>
      </c>
      <c r="I125">
        <v>71</v>
      </c>
      <c r="J125">
        <v>215</v>
      </c>
      <c r="K125" s="1" t="s">
        <v>183</v>
      </c>
      <c r="L125">
        <v>31</v>
      </c>
      <c r="M125">
        <v>3410</v>
      </c>
      <c r="N125">
        <v>33</v>
      </c>
    </row>
    <row r="126" spans="1:14" x14ac:dyDescent="0.35">
      <c r="A126" t="str">
        <f>LOWER(Table1[[#This Row],[position]]) &amp; "_" &amp; TEXT(DATE(Table1[[#This Row],[season]], 1, 1), "yyyy") &amp; "_" &amp; LOWER(_xlfn.TEXTAFTER(Table1[[#This Row],[player_name]], " ", -1))</f>
        <v>rb_2023_gibbs</v>
      </c>
      <c r="B126" s="1" t="s">
        <v>177</v>
      </c>
      <c r="C126">
        <v>2023</v>
      </c>
      <c r="D126" s="1" t="s">
        <v>29</v>
      </c>
      <c r="E126" t="s">
        <v>128</v>
      </c>
      <c r="F126" cm="1">
        <f t="array" ref="F126">VALUE(INDEX(_xlfn.TEXTSPLIT(Table1[[#This Row],[player_id]], "_"), 2)) / Table1[[#This Row],[season]]</f>
        <v>1</v>
      </c>
      <c r="G126" s="1">
        <v>12</v>
      </c>
      <c r="H126" s="1">
        <v>21</v>
      </c>
      <c r="I126">
        <v>69</v>
      </c>
      <c r="J126">
        <v>202</v>
      </c>
      <c r="K126" s="1" t="s">
        <v>42</v>
      </c>
      <c r="L126">
        <v>31</v>
      </c>
      <c r="M126">
        <v>2132</v>
      </c>
      <c r="N126">
        <v>15</v>
      </c>
    </row>
    <row r="127" spans="1:14" x14ac:dyDescent="0.35">
      <c r="A127" t="str">
        <f>LOWER(Table1[[#This Row],[position]]) &amp; "_" &amp; TEXT(DATE(Table1[[#This Row],[season]], 1, 1), "yyyy") &amp; "_" &amp; LOWER(_xlfn.TEXTAFTER(Table1[[#This Row],[player_name]], " ", -1))</f>
        <v>wr_2023_smith-njigba</v>
      </c>
      <c r="B127" s="1" t="s">
        <v>178</v>
      </c>
      <c r="C127">
        <v>2023</v>
      </c>
      <c r="D127" s="1" t="s">
        <v>28</v>
      </c>
      <c r="E127" t="s">
        <v>111</v>
      </c>
      <c r="F127" cm="1">
        <f t="array" ref="F127">VALUE(INDEX(_xlfn.TEXTSPLIT(Table1[[#This Row],[player_id]], "_"), 2)) / Table1[[#This Row],[season]]</f>
        <v>1</v>
      </c>
      <c r="G127" s="1">
        <v>20</v>
      </c>
      <c r="H127" s="1">
        <v>21</v>
      </c>
      <c r="I127">
        <v>72</v>
      </c>
      <c r="J127">
        <v>197</v>
      </c>
      <c r="K127" s="1" t="s">
        <v>66</v>
      </c>
      <c r="L127">
        <v>23</v>
      </c>
      <c r="M127">
        <v>1698</v>
      </c>
      <c r="N127">
        <v>10</v>
      </c>
    </row>
    <row r="128" spans="1:14" x14ac:dyDescent="0.35">
      <c r="A128" t="str">
        <f>LOWER(Table1[[#This Row],[position]]) &amp; "_" &amp; TEXT(DATE(Table1[[#This Row],[season]], 1, 1), "yyyy") &amp; "_" &amp; LOWER(_xlfn.TEXTAFTER(Table1[[#This Row],[player_name]], " ", -1))</f>
        <v>wr_2023_johnston</v>
      </c>
      <c r="B128" s="1" t="s">
        <v>179</v>
      </c>
      <c r="C128">
        <v>2023</v>
      </c>
      <c r="D128" s="1" t="s">
        <v>28</v>
      </c>
      <c r="E128" t="s">
        <v>36</v>
      </c>
      <c r="F128" cm="1">
        <f t="array" ref="F128">VALUE(INDEX(_xlfn.TEXTSPLIT(Table1[[#This Row],[player_id]], "_"), 2)) / Table1[[#This Row],[season]]</f>
        <v>1</v>
      </c>
      <c r="G128" s="1">
        <v>21</v>
      </c>
      <c r="H128" s="1">
        <v>22</v>
      </c>
      <c r="I128">
        <v>74</v>
      </c>
      <c r="J128">
        <v>208</v>
      </c>
      <c r="K128" s="1" t="s">
        <v>69</v>
      </c>
      <c r="L128">
        <v>32</v>
      </c>
      <c r="M128">
        <v>2190</v>
      </c>
      <c r="N128">
        <v>14</v>
      </c>
    </row>
    <row r="129" spans="1:14" x14ac:dyDescent="0.35">
      <c r="A129" t="str">
        <f>LOWER(Table1[[#This Row],[position]]) &amp; "_" &amp; TEXT(DATE(Table1[[#This Row],[season]], 1, 1), "yyyy") &amp; "_" &amp; LOWER(_xlfn.TEXTAFTER(Table1[[#This Row],[player_name]], " ", -1))</f>
        <v>wr_2023_flowers</v>
      </c>
      <c r="B129" s="1" t="s">
        <v>180</v>
      </c>
      <c r="C129">
        <v>2023</v>
      </c>
      <c r="D129" s="1" t="s">
        <v>28</v>
      </c>
      <c r="E129" t="s">
        <v>38</v>
      </c>
      <c r="F129" cm="1">
        <f t="array" ref="F129">VALUE(INDEX(_xlfn.TEXTSPLIT(Table1[[#This Row],[player_id]], "_"), 2)) / Table1[[#This Row],[season]]</f>
        <v>1</v>
      </c>
      <c r="G129" s="1">
        <v>22</v>
      </c>
      <c r="H129" s="1">
        <v>22</v>
      </c>
      <c r="I129">
        <v>69</v>
      </c>
      <c r="J129">
        <v>183</v>
      </c>
      <c r="K129" s="1" t="s">
        <v>184</v>
      </c>
      <c r="L129">
        <v>48</v>
      </c>
      <c r="M129">
        <v>3056</v>
      </c>
      <c r="N129">
        <v>29</v>
      </c>
    </row>
    <row r="130" spans="1:14" x14ac:dyDescent="0.35">
      <c r="A130" t="str">
        <f>LOWER(Table1[[#This Row],[position]]) &amp; "_" &amp; TEXT(DATE(Table1[[#This Row],[season]], 1, 1), "yyyy") &amp; "_" &amp; LOWER(_xlfn.TEXTAFTER(Table1[[#This Row],[player_name]], " ", -1))</f>
        <v>wr_2023_addison</v>
      </c>
      <c r="B130" s="1" t="s">
        <v>181</v>
      </c>
      <c r="C130">
        <v>2023</v>
      </c>
      <c r="D130" s="1" t="s">
        <v>28</v>
      </c>
      <c r="E130" t="s">
        <v>62</v>
      </c>
      <c r="F130" cm="1">
        <f t="array" ref="F130">VALUE(INDEX(_xlfn.TEXTSPLIT(Table1[[#This Row],[player_id]], "_"), 2)) / Table1[[#This Row],[season]]</f>
        <v>1</v>
      </c>
      <c r="G130" s="1">
        <v>23</v>
      </c>
      <c r="H130" s="1">
        <v>21</v>
      </c>
      <c r="I130">
        <v>71</v>
      </c>
      <c r="J130">
        <v>179</v>
      </c>
      <c r="K130" s="1" t="s">
        <v>47</v>
      </c>
      <c r="L130">
        <v>35</v>
      </c>
      <c r="M130">
        <v>3134</v>
      </c>
      <c r="N130">
        <v>29</v>
      </c>
    </row>
    <row r="131" spans="1:14" x14ac:dyDescent="0.35">
      <c r="A131" t="str">
        <f>LOWER(Table1[[#This Row],[position]]) &amp; "_" &amp; TEXT(DATE(Table1[[#This Row],[season]], 1, 1), "yyyy") &amp; "_" &amp; LOWER(_xlfn.TEXTAFTER(Table1[[#This Row],[player_name]], " ", -1))</f>
        <v>te_2023_kincaid</v>
      </c>
      <c r="B131" s="1" t="s">
        <v>182</v>
      </c>
      <c r="C131">
        <v>2023</v>
      </c>
      <c r="D131" s="1" t="s">
        <v>83</v>
      </c>
      <c r="E131" t="s">
        <v>108</v>
      </c>
      <c r="F131" cm="1">
        <f t="array" ref="F131">VALUE(INDEX(_xlfn.TEXTSPLIT(Table1[[#This Row],[player_id]], "_"), 2)) / Table1[[#This Row],[season]]</f>
        <v>1</v>
      </c>
      <c r="G131" s="1">
        <v>25</v>
      </c>
      <c r="H131" s="1">
        <v>23</v>
      </c>
      <c r="I131">
        <v>76</v>
      </c>
      <c r="J131">
        <v>240</v>
      </c>
      <c r="K131" s="1" t="s">
        <v>185</v>
      </c>
      <c r="L131">
        <v>31</v>
      </c>
      <c r="M131">
        <v>1414</v>
      </c>
      <c r="N131">
        <v>16</v>
      </c>
    </row>
    <row r="132" spans="1:14" x14ac:dyDescent="0.35">
      <c r="A132" t="str">
        <f>LOWER(Table1[[#This Row],[position]]) &amp; "_" &amp; TEXT(DATE(Table1[[#This Row],[season]], 1, 1), "yyyy") &amp; "_" &amp; LOWER(_xlfn.TEXTAFTER(Table1[[#This Row],[player_name]], " ", -1))</f>
        <v>qb_2024_williams</v>
      </c>
      <c r="B132" s="1" t="s">
        <v>186</v>
      </c>
      <c r="C132">
        <v>2024</v>
      </c>
      <c r="D132" s="1" t="s">
        <v>27</v>
      </c>
      <c r="E132" t="s">
        <v>33</v>
      </c>
      <c r="F132" cm="1">
        <f t="array" ref="F132">VALUE(INDEX(_xlfn.TEXTSPLIT(Table1[[#This Row],[player_id]], "_"), 2)) / Table1[[#This Row],[season]]</f>
        <v>1</v>
      </c>
      <c r="G132" s="1">
        <v>1</v>
      </c>
      <c r="H132" s="1">
        <v>22</v>
      </c>
      <c r="I132">
        <v>73</v>
      </c>
      <c r="J132">
        <v>226</v>
      </c>
      <c r="K132" s="1" t="s">
        <v>47</v>
      </c>
      <c r="L132">
        <v>37</v>
      </c>
      <c r="M132">
        <v>10082</v>
      </c>
      <c r="N132">
        <v>93</v>
      </c>
    </row>
    <row r="133" spans="1:14" x14ac:dyDescent="0.35">
      <c r="A133" t="str">
        <f>LOWER(Table1[[#This Row],[position]]) &amp; "_" &amp; TEXT(DATE(Table1[[#This Row],[season]], 1, 1), "yyyy") &amp; "_" &amp; LOWER(_xlfn.TEXTAFTER(Table1[[#This Row],[player_name]], " ", -1))</f>
        <v>qb_2024_daniels</v>
      </c>
      <c r="B133" s="1" t="s">
        <v>187</v>
      </c>
      <c r="C133">
        <v>2024</v>
      </c>
      <c r="D133" s="1" t="s">
        <v>27</v>
      </c>
      <c r="E133" t="s">
        <v>61</v>
      </c>
      <c r="F133" cm="1">
        <f t="array" ref="F133">VALUE(INDEX(_xlfn.TEXTSPLIT(Table1[[#This Row],[player_id]], "_"), 2)) / Table1[[#This Row],[season]]</f>
        <v>1</v>
      </c>
      <c r="G133" s="1">
        <v>2</v>
      </c>
      <c r="H133" s="1">
        <v>23</v>
      </c>
      <c r="I133">
        <v>76</v>
      </c>
      <c r="J133">
        <v>210</v>
      </c>
      <c r="K133" s="1" t="s">
        <v>90</v>
      </c>
      <c r="L133">
        <v>55</v>
      </c>
      <c r="M133">
        <v>12749</v>
      </c>
      <c r="N133">
        <v>89</v>
      </c>
    </row>
    <row r="134" spans="1:14" x14ac:dyDescent="0.35">
      <c r="A134" t="str">
        <f>LOWER(Table1[[#This Row],[position]]) &amp; "_" &amp; TEXT(DATE(Table1[[#This Row],[season]], 1, 1), "yyyy") &amp; "_" &amp; LOWER(_xlfn.TEXTAFTER(Table1[[#This Row],[player_name]], " ", -1))</f>
        <v>qb_2024_maye</v>
      </c>
      <c r="B134" s="1" t="s">
        <v>188</v>
      </c>
      <c r="C134">
        <v>2024</v>
      </c>
      <c r="D134" s="1" t="s">
        <v>27</v>
      </c>
      <c r="E134" t="s">
        <v>112</v>
      </c>
      <c r="F134" cm="1">
        <f t="array" ref="F134">VALUE(INDEX(_xlfn.TEXTSPLIT(Table1[[#This Row],[player_id]], "_"), 2)) / Table1[[#This Row],[season]]</f>
        <v>1</v>
      </c>
      <c r="G134" s="1">
        <v>3</v>
      </c>
      <c r="H134" s="1">
        <v>22</v>
      </c>
      <c r="I134">
        <v>77</v>
      </c>
      <c r="J134">
        <v>225</v>
      </c>
      <c r="K134" s="1" t="s">
        <v>89</v>
      </c>
      <c r="L134">
        <v>30</v>
      </c>
      <c r="M134">
        <v>8018</v>
      </c>
      <c r="N134">
        <v>63</v>
      </c>
    </row>
    <row r="135" spans="1:14" x14ac:dyDescent="0.35">
      <c r="A135" t="str">
        <f>LOWER(Table1[[#This Row],[position]]) &amp; "_" &amp; TEXT(DATE(Table1[[#This Row],[season]], 1, 1), "yyyy") &amp; "_" &amp; LOWER(_xlfn.TEXTAFTER(Table1[[#This Row],[player_name]], " ", -1))</f>
        <v>wr_2024_harrison-jr.</v>
      </c>
      <c r="B135" s="1" t="s">
        <v>213</v>
      </c>
      <c r="C135">
        <v>2024</v>
      </c>
      <c r="D135" s="1" t="s">
        <v>28</v>
      </c>
      <c r="E135" t="s">
        <v>109</v>
      </c>
      <c r="F135" cm="1">
        <f t="array" ref="F135">VALUE(INDEX(_xlfn.TEXTSPLIT(Table1[[#This Row],[player_id]], "_"), 2)) / Table1[[#This Row],[season]]</f>
        <v>1</v>
      </c>
      <c r="G135" s="1">
        <v>4</v>
      </c>
      <c r="H135" s="1">
        <v>22</v>
      </c>
      <c r="I135">
        <v>75</v>
      </c>
      <c r="J135">
        <v>220</v>
      </c>
      <c r="K135" s="1" t="s">
        <v>66</v>
      </c>
      <c r="L135">
        <v>38</v>
      </c>
      <c r="M135">
        <v>2613</v>
      </c>
      <c r="N135">
        <v>31</v>
      </c>
    </row>
    <row r="136" spans="1:14" x14ac:dyDescent="0.35">
      <c r="A136" t="str">
        <f>LOWER(Table1[[#This Row],[position]]) &amp; "_" &amp; TEXT(DATE(Table1[[#This Row],[season]], 1, 1), "yyyy") &amp; "_" &amp; LOWER(_xlfn.TEXTAFTER(Table1[[#This Row],[player_name]], " ", -1))</f>
        <v>wr_2024_nabers</v>
      </c>
      <c r="B136" s="1" t="s">
        <v>189</v>
      </c>
      <c r="C136">
        <v>2024</v>
      </c>
      <c r="D136" s="1" t="s">
        <v>28</v>
      </c>
      <c r="E136" t="s">
        <v>88</v>
      </c>
      <c r="F136" cm="1">
        <f t="array" ref="F136">VALUE(INDEX(_xlfn.TEXTSPLIT(Table1[[#This Row],[player_id]], "_"), 2)) / Table1[[#This Row],[season]]</f>
        <v>1</v>
      </c>
      <c r="G136" s="1">
        <v>6</v>
      </c>
      <c r="H136" s="1">
        <v>21</v>
      </c>
      <c r="I136">
        <v>72</v>
      </c>
      <c r="J136">
        <v>200</v>
      </c>
      <c r="K136" s="1" t="s">
        <v>90</v>
      </c>
      <c r="L136">
        <v>38</v>
      </c>
      <c r="M136">
        <v>3003</v>
      </c>
      <c r="N136">
        <v>21</v>
      </c>
    </row>
    <row r="137" spans="1:14" x14ac:dyDescent="0.35">
      <c r="A137" t="str">
        <f>LOWER(Table1[[#This Row],[position]]) &amp; "_" &amp; TEXT(DATE(Table1[[#This Row],[season]], 1, 1), "yyyy") &amp; "_" &amp; LOWER(_xlfn.TEXTAFTER(Table1[[#This Row],[player_name]], " ", -1))</f>
        <v>qb_2024_penix</v>
      </c>
      <c r="B137" s="1" t="s">
        <v>190</v>
      </c>
      <c r="C137">
        <v>2024</v>
      </c>
      <c r="D137" s="1" t="s">
        <v>27</v>
      </c>
      <c r="E137" t="s">
        <v>110</v>
      </c>
      <c r="F137" cm="1">
        <f t="array" ref="F137">VALUE(INDEX(_xlfn.TEXTSPLIT(Table1[[#This Row],[player_id]], "_"), 2)) / Table1[[#This Row],[season]]</f>
        <v>1</v>
      </c>
      <c r="G137" s="1">
        <v>8</v>
      </c>
      <c r="H137" s="1">
        <v>24</v>
      </c>
      <c r="I137">
        <v>75</v>
      </c>
      <c r="J137">
        <v>220</v>
      </c>
      <c r="K137" s="1" t="s">
        <v>94</v>
      </c>
      <c r="L137">
        <v>48</v>
      </c>
      <c r="M137">
        <v>13741</v>
      </c>
      <c r="N137">
        <v>96</v>
      </c>
    </row>
    <row r="138" spans="1:14" x14ac:dyDescent="0.35">
      <c r="A138" t="str">
        <f>LOWER(Table1[[#This Row],[position]]) &amp; "_" &amp; TEXT(DATE(Table1[[#This Row],[season]], 1, 1), "yyyy") &amp; "_" &amp; LOWER(_xlfn.TEXTAFTER(Table1[[#This Row],[player_name]], " ", -1))</f>
        <v>wr_2024_odunze</v>
      </c>
      <c r="B138" s="1" t="s">
        <v>191</v>
      </c>
      <c r="C138">
        <v>2024</v>
      </c>
      <c r="D138" s="1" t="s">
        <v>28</v>
      </c>
      <c r="E138" t="s">
        <v>33</v>
      </c>
      <c r="F138" cm="1">
        <f t="array" ref="F138">VALUE(INDEX(_xlfn.TEXTSPLIT(Table1[[#This Row],[player_id]], "_"), 2)) / Table1[[#This Row],[season]]</f>
        <v>1</v>
      </c>
      <c r="G138" s="1">
        <v>9</v>
      </c>
      <c r="H138" s="1">
        <v>22</v>
      </c>
      <c r="I138">
        <v>75</v>
      </c>
      <c r="J138">
        <v>214</v>
      </c>
      <c r="K138" s="1" t="s">
        <v>94</v>
      </c>
      <c r="L138">
        <v>40</v>
      </c>
      <c r="M138">
        <v>3272</v>
      </c>
      <c r="N138">
        <v>24</v>
      </c>
    </row>
    <row r="139" spans="1:14" x14ac:dyDescent="0.35">
      <c r="A139" t="str">
        <f>LOWER(Table1[[#This Row],[position]]) &amp; "_" &amp; TEXT(DATE(Table1[[#This Row],[season]], 1, 1), "yyyy") &amp; "_" &amp; LOWER(_xlfn.TEXTAFTER(Table1[[#This Row],[player_name]], " ", -1))</f>
        <v>qb_2024_mccarthy</v>
      </c>
      <c r="B139" s="1" t="s">
        <v>192</v>
      </c>
      <c r="C139">
        <v>2024</v>
      </c>
      <c r="D139" s="1" t="s">
        <v>27</v>
      </c>
      <c r="E139" t="s">
        <v>62</v>
      </c>
      <c r="F139" cm="1">
        <f t="array" ref="F139">VALUE(INDEX(_xlfn.TEXTSPLIT(Table1[[#This Row],[player_id]], "_"), 2)) / Table1[[#This Row],[season]]</f>
        <v>1</v>
      </c>
      <c r="G139" s="1">
        <v>10</v>
      </c>
      <c r="H139" s="1">
        <v>21</v>
      </c>
      <c r="I139">
        <v>75</v>
      </c>
      <c r="J139">
        <v>219</v>
      </c>
      <c r="K139" s="1" t="s">
        <v>199</v>
      </c>
      <c r="L139">
        <v>40</v>
      </c>
      <c r="M139">
        <v>6226</v>
      </c>
      <c r="N139">
        <v>49</v>
      </c>
    </row>
    <row r="140" spans="1:14" x14ac:dyDescent="0.35">
      <c r="A140" t="str">
        <f>LOWER(Table1[[#This Row],[position]]) &amp; "_" &amp; TEXT(DATE(Table1[[#This Row],[season]], 1, 1), "yyyy") &amp; "_" &amp; LOWER(_xlfn.TEXTAFTER(Table1[[#This Row],[player_name]], " ", -1))</f>
        <v>qb_2024_nix</v>
      </c>
      <c r="B140" s="1" t="s">
        <v>193</v>
      </c>
      <c r="C140">
        <v>2024</v>
      </c>
      <c r="D140" s="1" t="s">
        <v>27</v>
      </c>
      <c r="E140" t="s">
        <v>63</v>
      </c>
      <c r="F140" cm="1">
        <f t="array" ref="F140">VALUE(INDEX(_xlfn.TEXTSPLIT(Table1[[#This Row],[player_id]], "_"), 2)) / Table1[[#This Row],[season]]</f>
        <v>1</v>
      </c>
      <c r="G140" s="1">
        <v>12</v>
      </c>
      <c r="H140" s="1">
        <v>24</v>
      </c>
      <c r="I140">
        <v>74</v>
      </c>
      <c r="J140">
        <v>217</v>
      </c>
      <c r="K140" s="1" t="s">
        <v>41</v>
      </c>
      <c r="L140">
        <v>61</v>
      </c>
      <c r="M140">
        <v>15351</v>
      </c>
      <c r="N140">
        <v>113</v>
      </c>
    </row>
    <row r="141" spans="1:14" x14ac:dyDescent="0.35">
      <c r="A141" t="str">
        <f>LOWER(Table1[[#This Row],[position]]) &amp; "_" &amp; TEXT(DATE(Table1[[#This Row],[season]], 1, 1), "yyyy") &amp; "_" &amp; LOWER(_xlfn.TEXTAFTER(Table1[[#This Row],[player_name]], " ", -1))</f>
        <v>te_2024_bowers</v>
      </c>
      <c r="B141" s="1" t="s">
        <v>194</v>
      </c>
      <c r="C141">
        <v>2024</v>
      </c>
      <c r="D141" s="1" t="s">
        <v>83</v>
      </c>
      <c r="E141" t="s">
        <v>32</v>
      </c>
      <c r="F141" cm="1">
        <f t="array" ref="F141">VALUE(INDEX(_xlfn.TEXTSPLIT(Table1[[#This Row],[player_id]], "_"), 2)) / Table1[[#This Row],[season]]</f>
        <v>1</v>
      </c>
      <c r="G141" s="1">
        <v>13</v>
      </c>
      <c r="H141" s="1">
        <v>21</v>
      </c>
      <c r="I141">
        <v>76</v>
      </c>
      <c r="J141">
        <v>235</v>
      </c>
      <c r="K141" s="1" t="s">
        <v>44</v>
      </c>
      <c r="L141">
        <v>40</v>
      </c>
      <c r="M141">
        <v>2538</v>
      </c>
      <c r="N141">
        <v>26</v>
      </c>
    </row>
    <row r="142" spans="1:14" x14ac:dyDescent="0.35">
      <c r="A142" t="str">
        <f>LOWER(Table1[[#This Row],[position]]) &amp; "_" &amp; TEXT(DATE(Table1[[#This Row],[season]], 1, 1), "yyyy") &amp; "_" &amp; LOWER(_xlfn.TEXTAFTER(Table1[[#This Row],[player_name]], " ", -1))</f>
        <v>wr_2024_thomas</v>
      </c>
      <c r="B142" s="1" t="s">
        <v>195</v>
      </c>
      <c r="C142">
        <v>2024</v>
      </c>
      <c r="D142" s="1" t="s">
        <v>28</v>
      </c>
      <c r="E142" t="s">
        <v>84</v>
      </c>
      <c r="F142" cm="1">
        <f t="array" ref="F142">VALUE(INDEX(_xlfn.TEXTSPLIT(Table1[[#This Row],[player_id]], "_"), 2)) / Table1[[#This Row],[season]]</f>
        <v>1</v>
      </c>
      <c r="G142" s="1">
        <v>23</v>
      </c>
      <c r="H142" s="1">
        <v>21</v>
      </c>
      <c r="I142">
        <v>74</v>
      </c>
      <c r="J142">
        <v>209</v>
      </c>
      <c r="K142" s="1" t="s">
        <v>90</v>
      </c>
      <c r="L142">
        <v>38</v>
      </c>
      <c r="M142">
        <v>1897</v>
      </c>
      <c r="N142">
        <v>24</v>
      </c>
    </row>
    <row r="143" spans="1:14" x14ac:dyDescent="0.35">
      <c r="A143" t="str">
        <f>LOWER(Table1[[#This Row],[position]]) &amp; "_" &amp; TEXT(DATE(Table1[[#This Row],[season]], 1, 1), "yyyy") &amp; "_" &amp; LOWER(_xlfn.TEXTAFTER(Table1[[#This Row],[player_name]], " ", -1))</f>
        <v>wr_2024_worthy</v>
      </c>
      <c r="B143" s="1" t="s">
        <v>196</v>
      </c>
      <c r="C143">
        <v>2024</v>
      </c>
      <c r="D143" s="1" t="s">
        <v>28</v>
      </c>
      <c r="E143" t="s">
        <v>87</v>
      </c>
      <c r="F143" cm="1">
        <f t="array" ref="F143">VALUE(INDEX(_xlfn.TEXTSPLIT(Table1[[#This Row],[player_id]], "_"), 2)) / Table1[[#This Row],[season]]</f>
        <v>1</v>
      </c>
      <c r="G143" s="1">
        <v>28</v>
      </c>
      <c r="H143" s="1">
        <v>21</v>
      </c>
      <c r="I143">
        <v>71</v>
      </c>
      <c r="J143">
        <v>165</v>
      </c>
      <c r="K143" s="1" t="s">
        <v>183</v>
      </c>
      <c r="L143">
        <v>39</v>
      </c>
      <c r="M143">
        <v>2755</v>
      </c>
      <c r="N143">
        <v>26</v>
      </c>
    </row>
    <row r="144" spans="1:14" x14ac:dyDescent="0.35">
      <c r="A144" t="str">
        <f>LOWER(Table1[[#This Row],[position]]) &amp; "_" &amp; TEXT(DATE(Table1[[#This Row],[season]], 1, 1), "yyyy") &amp; "_" &amp; LOWER(_xlfn.TEXTAFTER(Table1[[#This Row],[player_name]], " ", -1))</f>
        <v>wr_2024_pearsall</v>
      </c>
      <c r="B144" s="1" t="s">
        <v>197</v>
      </c>
      <c r="C144">
        <v>2024</v>
      </c>
      <c r="D144" s="1" t="s">
        <v>28</v>
      </c>
      <c r="E144" t="s">
        <v>144</v>
      </c>
      <c r="F144" cm="1">
        <f t="array" ref="F144">VALUE(INDEX(_xlfn.TEXTSPLIT(Table1[[#This Row],[player_id]], "_"), 2)) / Table1[[#This Row],[season]]</f>
        <v>1</v>
      </c>
      <c r="G144" s="1">
        <v>31</v>
      </c>
      <c r="H144" s="1">
        <v>23</v>
      </c>
      <c r="I144">
        <v>73</v>
      </c>
      <c r="J144">
        <v>189</v>
      </c>
      <c r="K144" s="1" t="s">
        <v>160</v>
      </c>
      <c r="L144">
        <v>55</v>
      </c>
      <c r="M144">
        <v>2420</v>
      </c>
      <c r="N144">
        <v>14</v>
      </c>
    </row>
    <row r="145" spans="1:14" x14ac:dyDescent="0.35">
      <c r="A145" t="str">
        <f>LOWER(Table1[[#This Row],[position]]) &amp; "_" &amp; TEXT(DATE(Table1[[#This Row],[season]], 1, 1), "yyyy") &amp; "_" &amp; LOWER(_xlfn.TEXTAFTER(Table1[[#This Row],[player_name]], " ", -1))</f>
        <v>wr_2024_legette</v>
      </c>
      <c r="B145" s="1" t="s">
        <v>198</v>
      </c>
      <c r="C145">
        <v>2024</v>
      </c>
      <c r="D145" s="1" t="s">
        <v>28</v>
      </c>
      <c r="E145" t="s">
        <v>85</v>
      </c>
      <c r="F145" cm="1">
        <f t="array" ref="F145">VALUE(INDEX(_xlfn.TEXTSPLIT(Table1[[#This Row],[player_id]], "_"), 2)) / Table1[[#This Row],[season]]</f>
        <v>1</v>
      </c>
      <c r="G145" s="1">
        <v>32</v>
      </c>
      <c r="H145" s="1">
        <v>23</v>
      </c>
      <c r="I145">
        <v>75</v>
      </c>
      <c r="J145">
        <v>227</v>
      </c>
      <c r="K145" s="1" t="s">
        <v>118</v>
      </c>
      <c r="L145">
        <v>53</v>
      </c>
      <c r="M145">
        <v>1678</v>
      </c>
      <c r="N145">
        <v>12</v>
      </c>
    </row>
    <row r="146" spans="1:14" x14ac:dyDescent="0.35">
      <c r="A146" t="str">
        <f>LOWER(Table1[[#This Row],[position]]) &amp; "_" &amp; TEXT(DATE(Table1[[#This Row],[season]], 1, 1), "yyyy") &amp; "_" &amp; LOWER(_xlfn.TEXTAFTER(Table1[[#This Row],[player_name]], " ", -1))</f>
        <v>qb_2025_ward</v>
      </c>
      <c r="B146" s="1" t="s">
        <v>200</v>
      </c>
      <c r="C146">
        <v>2025</v>
      </c>
      <c r="D146" s="1" t="s">
        <v>27</v>
      </c>
      <c r="E146" t="s">
        <v>31</v>
      </c>
      <c r="F146" cm="1">
        <f t="array" ref="F146">VALUE(INDEX(_xlfn.TEXTSPLIT(Table1[[#This Row],[player_id]], "_"), 2)) / Table1[[#This Row],[season]]</f>
        <v>1</v>
      </c>
      <c r="G146" s="1">
        <v>1</v>
      </c>
      <c r="H146" s="1">
        <v>23</v>
      </c>
      <c r="I146">
        <v>74</v>
      </c>
      <c r="J146">
        <v>219</v>
      </c>
      <c r="K146" s="1" t="s">
        <v>49</v>
      </c>
      <c r="L146">
        <v>38</v>
      </c>
      <c r="M146">
        <v>11281</v>
      </c>
      <c r="N146">
        <v>87</v>
      </c>
    </row>
    <row r="147" spans="1:14" x14ac:dyDescent="0.35">
      <c r="A147" t="str">
        <f>LOWER(Table1[[#This Row],[position]]) &amp; "_" &amp; TEXT(DATE(Table1[[#This Row],[season]], 1, 1), "yyyy") &amp; "_" &amp; LOWER(_xlfn.TEXTAFTER(Table1[[#This Row],[player_name]], " ", -1))</f>
        <v>wr_2025_hunter</v>
      </c>
      <c r="B147" s="1" t="s">
        <v>201</v>
      </c>
      <c r="C147">
        <v>2025</v>
      </c>
      <c r="D147" s="1" t="s">
        <v>28</v>
      </c>
      <c r="E147" t="s">
        <v>84</v>
      </c>
      <c r="F147" cm="1">
        <f t="array" ref="F147">VALUE(INDEX(_xlfn.TEXTSPLIT(Table1[[#This Row],[player_id]], "_"), 2)) / Table1[[#This Row],[season]]</f>
        <v>1</v>
      </c>
      <c r="G147" s="1">
        <v>2</v>
      </c>
      <c r="H147" s="1">
        <v>22</v>
      </c>
      <c r="I147">
        <v>73</v>
      </c>
      <c r="J147">
        <v>185</v>
      </c>
      <c r="K147" s="1" t="s">
        <v>210</v>
      </c>
      <c r="L147">
        <v>22</v>
      </c>
      <c r="M147">
        <v>1979</v>
      </c>
      <c r="N147">
        <v>20</v>
      </c>
    </row>
    <row r="148" spans="1:14" x14ac:dyDescent="0.35">
      <c r="A148" t="str">
        <f>LOWER(Table1[[#This Row],[position]]) &amp; "_" &amp; TEXT(DATE(Table1[[#This Row],[season]], 1, 1), "yyyy") &amp; "_" &amp; LOWER(_xlfn.TEXTAFTER(Table1[[#This Row],[player_name]], " ", -1))</f>
        <v>rb_2025_jeanty</v>
      </c>
      <c r="B148" s="1" t="s">
        <v>202</v>
      </c>
      <c r="C148">
        <v>2025</v>
      </c>
      <c r="D148" s="1" t="s">
        <v>29</v>
      </c>
      <c r="E148" t="s">
        <v>32</v>
      </c>
      <c r="F148" cm="1">
        <f t="array" ref="F148">VALUE(INDEX(_xlfn.TEXTSPLIT(Table1[[#This Row],[player_id]], "_"), 2)) / Table1[[#This Row],[season]]</f>
        <v>1</v>
      </c>
      <c r="G148" s="1">
        <v>6</v>
      </c>
      <c r="H148" s="1">
        <v>21</v>
      </c>
      <c r="I148">
        <v>68</v>
      </c>
      <c r="J148">
        <v>208</v>
      </c>
      <c r="K148" s="1" t="s">
        <v>211</v>
      </c>
      <c r="L148">
        <v>40</v>
      </c>
      <c r="M148">
        <v>4769</v>
      </c>
      <c r="N148">
        <v>50</v>
      </c>
    </row>
    <row r="149" spans="1:14" x14ac:dyDescent="0.35">
      <c r="A149" t="str">
        <f>LOWER(Table1[[#This Row],[position]]) &amp; "_" &amp; TEXT(DATE(Table1[[#This Row],[season]], 1, 1), "yyyy") &amp; "_" &amp; LOWER(_xlfn.TEXTAFTER(Table1[[#This Row],[player_name]], " ", -1))</f>
        <v>wr_2025_mcmillan</v>
      </c>
      <c r="B149" s="1" t="s">
        <v>203</v>
      </c>
      <c r="C149">
        <v>2025</v>
      </c>
      <c r="D149" s="1" t="s">
        <v>28</v>
      </c>
      <c r="E149" t="s">
        <v>85</v>
      </c>
      <c r="F149" cm="1">
        <f t="array" ref="F149">VALUE(INDEX(_xlfn.TEXTSPLIT(Table1[[#This Row],[player_id]], "_"), 2)) / Table1[[#This Row],[season]]</f>
        <v>1</v>
      </c>
      <c r="G149" s="1">
        <v>8</v>
      </c>
      <c r="H149" s="1">
        <v>22</v>
      </c>
      <c r="I149">
        <v>77</v>
      </c>
      <c r="J149">
        <v>212</v>
      </c>
      <c r="K149" s="1" t="s">
        <v>212</v>
      </c>
      <c r="L149">
        <v>37</v>
      </c>
      <c r="M149">
        <v>3423</v>
      </c>
      <c r="N149">
        <v>26</v>
      </c>
    </row>
    <row r="150" spans="1:14" x14ac:dyDescent="0.35">
      <c r="A150" t="str">
        <f>LOWER(Table1[[#This Row],[position]]) &amp; "_" &amp; TEXT(DATE(Table1[[#This Row],[season]], 1, 1), "yyyy") &amp; "_" &amp; LOWER(_xlfn.TEXTAFTER(Table1[[#This Row],[player_name]], " ", -1))</f>
        <v>te_2025_loveland</v>
      </c>
      <c r="B150" s="1" t="s">
        <v>204</v>
      </c>
      <c r="C150">
        <v>2025</v>
      </c>
      <c r="D150" s="1" t="s">
        <v>83</v>
      </c>
      <c r="E150" t="s">
        <v>33</v>
      </c>
      <c r="F150" cm="1">
        <f t="array" ref="F150">VALUE(INDEX(_xlfn.TEXTSPLIT(Table1[[#This Row],[player_id]], "_"), 2)) / Table1[[#This Row],[season]]</f>
        <v>1</v>
      </c>
      <c r="G150" s="1">
        <v>10</v>
      </c>
      <c r="H150" s="1">
        <v>21</v>
      </c>
      <c r="I150">
        <v>78</v>
      </c>
      <c r="J150">
        <v>241</v>
      </c>
      <c r="K150" s="1" t="s">
        <v>199</v>
      </c>
      <c r="L150">
        <v>39</v>
      </c>
      <c r="M150">
        <v>1466</v>
      </c>
      <c r="N150">
        <v>11</v>
      </c>
    </row>
    <row r="151" spans="1:14" x14ac:dyDescent="0.35">
      <c r="A151" t="str">
        <f>LOWER(Table1[[#This Row],[position]]) &amp; "_" &amp; TEXT(DATE(Table1[[#This Row],[season]], 1, 1), "yyyy") &amp; "_" &amp; LOWER(_xlfn.TEXTAFTER(Table1[[#This Row],[player_name]], " ", -1))</f>
        <v>te_2025_warren</v>
      </c>
      <c r="B151" s="1" t="s">
        <v>205</v>
      </c>
      <c r="C151">
        <v>2025</v>
      </c>
      <c r="D151" s="1" t="s">
        <v>83</v>
      </c>
      <c r="E151" t="s">
        <v>39</v>
      </c>
      <c r="F151" cm="1">
        <f t="array" ref="F151">VALUE(INDEX(_xlfn.TEXTSPLIT(Table1[[#This Row],[player_id]], "_"), 2)) / Table1[[#This Row],[season]]</f>
        <v>1</v>
      </c>
      <c r="G151" s="1">
        <v>14</v>
      </c>
      <c r="H151" s="1">
        <v>23</v>
      </c>
      <c r="I151">
        <v>78</v>
      </c>
      <c r="J151">
        <v>256</v>
      </c>
      <c r="K151" s="1" t="s">
        <v>114</v>
      </c>
      <c r="L151">
        <v>56</v>
      </c>
      <c r="M151">
        <v>1839</v>
      </c>
      <c r="N151">
        <v>19</v>
      </c>
    </row>
    <row r="152" spans="1:14" x14ac:dyDescent="0.35">
      <c r="A152" t="str">
        <f>LOWER(Table1[[#This Row],[position]]) &amp; "_" &amp; TEXT(DATE(Table1[[#This Row],[season]], 1, 1), "yyyy") &amp; "_" &amp; LOWER(_xlfn.TEXTAFTER(Table1[[#This Row],[player_name]], " ", -1))</f>
        <v>wr_2025_egbuka</v>
      </c>
      <c r="B152" s="1" t="s">
        <v>206</v>
      </c>
      <c r="C152">
        <v>2025</v>
      </c>
      <c r="D152" s="1" t="s">
        <v>28</v>
      </c>
      <c r="E152" t="s">
        <v>30</v>
      </c>
      <c r="F152" cm="1">
        <f t="array" ref="F152">VALUE(INDEX(_xlfn.TEXTSPLIT(Table1[[#This Row],[player_id]], "_"), 2)) / Table1[[#This Row],[season]]</f>
        <v>1</v>
      </c>
      <c r="G152" s="1">
        <v>19</v>
      </c>
      <c r="H152" s="1">
        <v>22</v>
      </c>
      <c r="I152">
        <v>73</v>
      </c>
      <c r="J152">
        <v>205</v>
      </c>
      <c r="K152" s="1" t="s">
        <v>66</v>
      </c>
      <c r="L152">
        <v>49</v>
      </c>
      <c r="M152">
        <v>2868</v>
      </c>
      <c r="N152">
        <v>24</v>
      </c>
    </row>
    <row r="153" spans="1:14" x14ac:dyDescent="0.35">
      <c r="A153" t="str">
        <f>LOWER(Table1[[#This Row],[position]]) &amp; "_" &amp; TEXT(DATE(Table1[[#This Row],[season]], 1, 1), "yyyy") &amp; "_" &amp; LOWER(_xlfn.TEXTAFTER(Table1[[#This Row],[player_name]], " ", -1))</f>
        <v>rb_2025_hampton</v>
      </c>
      <c r="B153" s="1" t="s">
        <v>207</v>
      </c>
      <c r="C153">
        <v>2025</v>
      </c>
      <c r="D153" s="1" t="s">
        <v>29</v>
      </c>
      <c r="E153" t="s">
        <v>36</v>
      </c>
      <c r="F153" cm="1">
        <f t="array" ref="F153">VALUE(INDEX(_xlfn.TEXTSPLIT(Table1[[#This Row],[player_id]], "_"), 2)) / Table1[[#This Row],[season]]</f>
        <v>1</v>
      </c>
      <c r="G153" s="1">
        <v>22</v>
      </c>
      <c r="H153" s="1">
        <v>22</v>
      </c>
      <c r="I153">
        <v>72</v>
      </c>
      <c r="J153">
        <v>220</v>
      </c>
      <c r="K153" s="1" t="s">
        <v>89</v>
      </c>
      <c r="L153">
        <v>38</v>
      </c>
      <c r="M153">
        <v>3565</v>
      </c>
      <c r="N153">
        <v>36</v>
      </c>
    </row>
    <row r="154" spans="1:14" x14ac:dyDescent="0.35">
      <c r="A154" t="str">
        <f>LOWER(Table1[[#This Row],[position]]) &amp; "_" &amp; TEXT(DATE(Table1[[#This Row],[season]], 1, 1), "yyyy") &amp; "_" &amp; LOWER(_xlfn.TEXTAFTER(Table1[[#This Row],[player_name]], " ", -1))</f>
        <v>wr_2025_golden</v>
      </c>
      <c r="B154" s="1" t="s">
        <v>208</v>
      </c>
      <c r="C154">
        <v>2025</v>
      </c>
      <c r="D154" s="1" t="s">
        <v>28</v>
      </c>
      <c r="E154" t="s">
        <v>145</v>
      </c>
      <c r="F154" cm="1">
        <f t="array" ref="F154">VALUE(INDEX(_xlfn.TEXTSPLIT(Table1[[#This Row],[player_id]], "_"), 2)) / Table1[[#This Row],[season]]</f>
        <v>1</v>
      </c>
      <c r="G154" s="1">
        <v>23</v>
      </c>
      <c r="H154" s="1">
        <v>22</v>
      </c>
      <c r="I154">
        <v>71</v>
      </c>
      <c r="J154">
        <v>191</v>
      </c>
      <c r="K154" s="1" t="s">
        <v>183</v>
      </c>
      <c r="L154">
        <v>36</v>
      </c>
      <c r="M154">
        <v>1975</v>
      </c>
      <c r="N154">
        <v>22</v>
      </c>
    </row>
    <row r="155" spans="1:14" x14ac:dyDescent="0.35">
      <c r="A155" t="str">
        <f>LOWER(Table1[[#This Row],[position]]) &amp; "_" &amp; TEXT(DATE(Table1[[#This Row],[season]], 1, 1), "yyyy") &amp; "_" &amp; LOWER(_xlfn.TEXTAFTER(Table1[[#This Row],[player_name]], " ", -1))</f>
        <v>qb_2025_dart</v>
      </c>
      <c r="B155" s="1" t="s">
        <v>209</v>
      </c>
      <c r="C155">
        <v>2025</v>
      </c>
      <c r="D155" s="1" t="s">
        <v>27</v>
      </c>
      <c r="E155" t="s">
        <v>88</v>
      </c>
      <c r="F155" cm="1">
        <f t="array" ref="F155">VALUE(INDEX(_xlfn.TEXTSPLIT(Table1[[#This Row],[player_id]], "_"), 2)) / Table1[[#This Row],[season]]</f>
        <v>1</v>
      </c>
      <c r="G155" s="1">
        <v>25</v>
      </c>
      <c r="H155" s="1">
        <v>22</v>
      </c>
      <c r="I155">
        <v>74</v>
      </c>
      <c r="J155">
        <v>223</v>
      </c>
      <c r="K155" s="1" t="s">
        <v>70</v>
      </c>
      <c r="L155">
        <v>45</v>
      </c>
      <c r="M155">
        <v>11970</v>
      </c>
      <c r="N155">
        <v>81</v>
      </c>
    </row>
    <row r="156" spans="1:14" x14ac:dyDescent="0.35">
      <c r="A156" t="str">
        <f>LOWER(Table1[[#This Row],[position]]) &amp; "_" &amp; TEXT(DATE(Table1[[#This Row],[season]], 1, 1), "yyyy") &amp; "_" &amp; LOWER(_xlfn.TEXTAFTER(Table1[[#This Row],[player_name]], " ", -1))</f>
        <v>qb_2026_mendoza</v>
      </c>
      <c r="B156" s="1" t="s">
        <v>214</v>
      </c>
      <c r="C156">
        <v>2026</v>
      </c>
      <c r="D156" s="1" t="s">
        <v>27</v>
      </c>
      <c r="E156" t="s">
        <v>32</v>
      </c>
      <c r="F156" cm="1">
        <f t="array" ref="F156">VALUE(INDEX(_xlfn.TEXTSPLIT(Table1[[#This Row],[player_id]], "_"), 2)) / Table1[[#This Row],[season]]</f>
        <v>1</v>
      </c>
      <c r="G156" s="1">
        <v>1</v>
      </c>
      <c r="H156" s="1">
        <v>22</v>
      </c>
      <c r="I156">
        <v>77</v>
      </c>
      <c r="J156">
        <v>225</v>
      </c>
      <c r="K156" s="1" t="s">
        <v>223</v>
      </c>
      <c r="L156">
        <v>36</v>
      </c>
      <c r="M156">
        <v>8247</v>
      </c>
      <c r="N156">
        <v>71</v>
      </c>
    </row>
    <row r="157" spans="1:14" x14ac:dyDescent="0.35">
      <c r="A157" t="str">
        <f>LOWER(Table1[[#This Row],[position]]) &amp; "_" &amp; TEXT(DATE(Table1[[#This Row],[season]], 1, 1), "yyyy") &amp; "_" &amp; LOWER(_xlfn.TEXTAFTER(Table1[[#This Row],[player_name]], " ", -1))</f>
        <v>rb_2026_love</v>
      </c>
      <c r="B157" s="1" t="s">
        <v>215</v>
      </c>
      <c r="C157">
        <v>2026</v>
      </c>
      <c r="D157" s="1" t="s">
        <v>29</v>
      </c>
      <c r="E157" t="s">
        <v>109</v>
      </c>
      <c r="F157" cm="1">
        <f t="array" ref="F157">VALUE(INDEX(_xlfn.TEXTSPLIT(Table1[[#This Row],[player_id]], "_"), 2)) / Table1[[#This Row],[season]]</f>
        <v>1</v>
      </c>
      <c r="G157" s="1">
        <v>3</v>
      </c>
      <c r="H157" s="1">
        <v>21</v>
      </c>
      <c r="I157">
        <v>72</v>
      </c>
      <c r="J157">
        <v>214</v>
      </c>
      <c r="K157" s="1" t="s">
        <v>68</v>
      </c>
      <c r="L157">
        <v>41</v>
      </c>
      <c r="M157">
        <v>2882</v>
      </c>
      <c r="N157">
        <v>36</v>
      </c>
    </row>
    <row r="158" spans="1:14" x14ac:dyDescent="0.35">
      <c r="A158" t="str">
        <f>LOWER(Table1[[#This Row],[position]]) &amp; "_" &amp; TEXT(DATE(Table1[[#This Row],[season]], 1, 1), "yyyy") &amp; "_" &amp; LOWER(_xlfn.TEXTAFTER(Table1[[#This Row],[player_name]], " ", -1))</f>
        <v>wr_2026_tate</v>
      </c>
      <c r="B158" s="1" t="s">
        <v>216</v>
      </c>
      <c r="C158">
        <v>2026</v>
      </c>
      <c r="D158" s="1" t="s">
        <v>28</v>
      </c>
      <c r="E158" t="s">
        <v>31</v>
      </c>
      <c r="F158" cm="1">
        <f t="array" ref="F158">VALUE(INDEX(_xlfn.TEXTSPLIT(Table1[[#This Row],[player_id]], "_"), 2)) / Table1[[#This Row],[season]]</f>
        <v>1</v>
      </c>
      <c r="G158" s="1">
        <v>4</v>
      </c>
      <c r="H158" s="1">
        <v>21</v>
      </c>
      <c r="I158">
        <v>75</v>
      </c>
      <c r="J158">
        <v>195</v>
      </c>
      <c r="K158" s="1" t="s">
        <v>66</v>
      </c>
      <c r="L158">
        <v>39</v>
      </c>
      <c r="M158">
        <v>1872</v>
      </c>
      <c r="N158">
        <v>14</v>
      </c>
    </row>
    <row r="159" spans="1:14" x14ac:dyDescent="0.35">
      <c r="A159" t="str">
        <f>LOWER(Table1[[#This Row],[position]]) &amp; "_" &amp; TEXT(DATE(Table1[[#This Row],[season]], 1, 1), "yyyy") &amp; "_" &amp; LOWER(_xlfn.TEXTAFTER(Table1[[#This Row],[player_name]], " ", -1))</f>
        <v>wr_2026_tyson</v>
      </c>
      <c r="B159" s="1" t="s">
        <v>217</v>
      </c>
      <c r="C159">
        <v>2026</v>
      </c>
      <c r="D159" s="1" t="s">
        <v>28</v>
      </c>
      <c r="E159" t="s">
        <v>172</v>
      </c>
      <c r="F159" cm="1">
        <f t="array" ref="F159">VALUE(INDEX(_xlfn.TEXTSPLIT(Table1[[#This Row],[player_id]], "_"), 2)) / Table1[[#This Row],[season]]</f>
        <v>1</v>
      </c>
      <c r="G159" s="1">
        <v>8</v>
      </c>
      <c r="H159" s="1">
        <v>22</v>
      </c>
      <c r="I159">
        <v>74</v>
      </c>
      <c r="J159">
        <v>200</v>
      </c>
      <c r="K159" s="1" t="s">
        <v>131</v>
      </c>
      <c r="L159">
        <v>33</v>
      </c>
      <c r="M159">
        <v>2282</v>
      </c>
      <c r="N159">
        <v>22</v>
      </c>
    </row>
    <row r="160" spans="1:14" x14ac:dyDescent="0.35">
      <c r="A160" t="str">
        <f>LOWER(Table1[[#This Row],[position]]) &amp; "_" &amp; TEXT(DATE(Table1[[#This Row],[season]], 1, 1), "yyyy") &amp; "_" &amp; LOWER(_xlfn.TEXTAFTER(Table1[[#This Row],[player_name]], " ", -1))</f>
        <v>qb_2026_simpson</v>
      </c>
      <c r="B160" s="1" t="s">
        <v>218</v>
      </c>
      <c r="C160">
        <v>2026</v>
      </c>
      <c r="D160" s="1" t="s">
        <v>27</v>
      </c>
      <c r="E160" t="s">
        <v>34</v>
      </c>
      <c r="F160" cm="1">
        <f t="array" ref="F160">VALUE(INDEX(_xlfn.TEXTSPLIT(Table1[[#This Row],[player_id]], "_"), 2)) / Table1[[#This Row],[season]]</f>
        <v>1</v>
      </c>
      <c r="G160" s="1">
        <v>13</v>
      </c>
      <c r="H160" s="1">
        <v>23</v>
      </c>
      <c r="I160">
        <v>74</v>
      </c>
      <c r="J160">
        <v>208</v>
      </c>
      <c r="K160" s="1" t="s">
        <v>42</v>
      </c>
      <c r="L160">
        <v>31</v>
      </c>
      <c r="M160">
        <v>3948</v>
      </c>
      <c r="N160">
        <v>28</v>
      </c>
    </row>
    <row r="161" spans="1:14" x14ac:dyDescent="0.35">
      <c r="A161" t="str">
        <f>LOWER(Table1[[#This Row],[position]]) &amp; "_" &amp; TEXT(DATE(Table1[[#This Row],[season]], 1, 1), "yyyy") &amp; "_" &amp; LOWER(_xlfn.TEXTAFTER(Table1[[#This Row],[player_name]], " ", -1))</f>
        <v>te_2026_sadiq</v>
      </c>
      <c r="B161" s="1" t="s">
        <v>219</v>
      </c>
      <c r="C161">
        <v>2026</v>
      </c>
      <c r="D161" s="1" t="s">
        <v>83</v>
      </c>
      <c r="E161" t="s">
        <v>107</v>
      </c>
      <c r="F161" cm="1">
        <f t="array" ref="F161">VALUE(INDEX(_xlfn.TEXTSPLIT(Table1[[#This Row],[player_id]], "_"), 2)) / Table1[[#This Row],[season]]</f>
        <v>1</v>
      </c>
      <c r="G161" s="1">
        <v>16</v>
      </c>
      <c r="H161" s="1">
        <v>21</v>
      </c>
      <c r="I161">
        <v>75</v>
      </c>
      <c r="J161">
        <v>245</v>
      </c>
      <c r="K161" s="1" t="s">
        <v>41</v>
      </c>
      <c r="L161">
        <v>42</v>
      </c>
      <c r="M161">
        <v>892</v>
      </c>
      <c r="N161">
        <v>11</v>
      </c>
    </row>
    <row r="162" spans="1:14" x14ac:dyDescent="0.35">
      <c r="A162" t="str">
        <f>LOWER(Table1[[#This Row],[position]]) &amp; "_" &amp; TEXT(DATE(Table1[[#This Row],[season]], 1, 1), "yyyy") &amp; "_" &amp; LOWER(_xlfn.TEXTAFTER(Table1[[#This Row],[player_name]], " ", -1))</f>
        <v>wr_2026_lemon</v>
      </c>
      <c r="B162" s="1" t="s">
        <v>220</v>
      </c>
      <c r="C162">
        <v>2026</v>
      </c>
      <c r="D162" s="1" t="s">
        <v>28</v>
      </c>
      <c r="E162" t="s">
        <v>37</v>
      </c>
      <c r="F162" cm="1">
        <f t="array" ref="F162">VALUE(INDEX(_xlfn.TEXTSPLIT(Table1[[#This Row],[player_id]], "_"), 2)) / Table1[[#This Row],[season]]</f>
        <v>1</v>
      </c>
      <c r="G162" s="1">
        <v>20</v>
      </c>
      <c r="H162" s="1">
        <v>22</v>
      </c>
      <c r="I162">
        <v>71</v>
      </c>
      <c r="J162">
        <v>195</v>
      </c>
      <c r="K162" s="1" t="s">
        <v>47</v>
      </c>
      <c r="L162">
        <v>33</v>
      </c>
      <c r="M162">
        <v>2008</v>
      </c>
      <c r="N162">
        <v>14</v>
      </c>
    </row>
    <row r="163" spans="1:14" x14ac:dyDescent="0.35">
      <c r="A163" t="str">
        <f>LOWER(Table1[[#This Row],[position]]) &amp; "_" &amp; TEXT(DATE(Table1[[#This Row],[season]], 1, 1), "yyyy") &amp; "_" &amp; LOWER(_xlfn.TEXTAFTER(Table1[[#This Row],[player_name]], " ", -1))</f>
        <v>wr_2026_concepcion</v>
      </c>
      <c r="B163" s="1" t="s">
        <v>221</v>
      </c>
      <c r="C163">
        <v>2026</v>
      </c>
      <c r="D163" s="1" t="s">
        <v>28</v>
      </c>
      <c r="E163" t="s">
        <v>59</v>
      </c>
      <c r="F163" cm="1">
        <f t="array" ref="F163">VALUE(INDEX(_xlfn.TEXTSPLIT(Table1[[#This Row],[player_id]], "_"), 2)) / Table1[[#This Row],[season]]</f>
        <v>1</v>
      </c>
      <c r="G163" s="1">
        <v>24</v>
      </c>
      <c r="H163" s="1">
        <v>21</v>
      </c>
      <c r="I163">
        <v>71</v>
      </c>
      <c r="J163">
        <v>190</v>
      </c>
      <c r="K163" s="1" t="s">
        <v>224</v>
      </c>
      <c r="L163">
        <v>38</v>
      </c>
      <c r="M163">
        <v>2218</v>
      </c>
      <c r="N163">
        <v>25</v>
      </c>
    </row>
    <row r="164" spans="1:14" x14ac:dyDescent="0.35">
      <c r="A164" t="str">
        <f>LOWER(Table1[[#This Row],[position]]) &amp; "_" &amp; TEXT(DATE(Table1[[#This Row],[season]], 1, 1), "yyyy") &amp; "_" &amp; LOWER(_xlfn.TEXTAFTER(Table1[[#This Row],[player_name]], " ", -1))</f>
        <v>wr_2026_cooper-jr.</v>
      </c>
      <c r="B164" s="1" t="s">
        <v>275</v>
      </c>
      <c r="C164">
        <v>2026</v>
      </c>
      <c r="D164" s="1" t="s">
        <v>28</v>
      </c>
      <c r="E164" t="s">
        <v>107</v>
      </c>
      <c r="F164" cm="1">
        <f t="array" ref="F164">VALUE(INDEX(_xlfn.TEXTSPLIT(Table1[[#This Row],[player_id]], "_"), 2)) / Table1[[#This Row],[season]]</f>
        <v>1</v>
      </c>
      <c r="G164" s="1">
        <v>30</v>
      </c>
      <c r="H164" s="1">
        <v>22</v>
      </c>
      <c r="I164">
        <v>72</v>
      </c>
      <c r="J164">
        <v>204</v>
      </c>
      <c r="K164" s="1" t="s">
        <v>223</v>
      </c>
      <c r="L164">
        <v>42</v>
      </c>
      <c r="M164">
        <v>1798</v>
      </c>
      <c r="N164">
        <v>22</v>
      </c>
    </row>
    <row r="165" spans="1:14" x14ac:dyDescent="0.35">
      <c r="A165" t="str">
        <f>LOWER(Table1[[#This Row],[position]]) &amp; "_" &amp; TEXT(DATE(Table1[[#This Row],[season]], 1, 1), "yyyy") &amp; "_" &amp; LOWER(_xlfn.TEXTAFTER(Table1[[#This Row],[player_name]], " ", -1))</f>
        <v>rb_2026_price</v>
      </c>
      <c r="B165" s="1" t="s">
        <v>222</v>
      </c>
      <c r="C165">
        <v>2026</v>
      </c>
      <c r="D165" s="1" t="s">
        <v>29</v>
      </c>
      <c r="E165" t="s">
        <v>111</v>
      </c>
      <c r="F165" cm="1">
        <f t="array" ref="F165">VALUE(INDEX(_xlfn.TEXTSPLIT(Table1[[#This Row],[player_id]], "_"), 2)) / Table1[[#This Row],[season]]</f>
        <v>1</v>
      </c>
      <c r="G165" s="1">
        <v>32</v>
      </c>
      <c r="H165" s="1">
        <v>22</v>
      </c>
      <c r="I165">
        <v>71</v>
      </c>
      <c r="J165">
        <v>210</v>
      </c>
      <c r="K165" s="1" t="s">
        <v>68</v>
      </c>
      <c r="L165">
        <v>41</v>
      </c>
      <c r="M165">
        <v>1692</v>
      </c>
      <c r="N165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F5B-894A-444E-BED3-B46F1525B7F0}">
  <dimension ref="A1:G165"/>
  <sheetViews>
    <sheetView topLeftCell="A145" workbookViewId="0">
      <selection activeCell="E146" sqref="E146:G155"/>
    </sheetView>
  </sheetViews>
  <sheetFormatPr defaultRowHeight="14.5" x14ac:dyDescent="0.35"/>
  <cols>
    <col min="1" max="1" width="21.36328125" bestFit="1" customWidth="1"/>
    <col min="2" max="2" width="20.81640625" customWidth="1"/>
    <col min="4" max="4" width="9.6328125" customWidth="1"/>
    <col min="5" max="5" width="22.36328125" customWidth="1"/>
    <col min="6" max="6" width="23.54296875" customWidth="1"/>
    <col min="7" max="7" width="22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</row>
    <row r="2" spans="1:7" x14ac:dyDescent="0.35">
      <c r="A2" t="str">
        <f>LOWER(Table1[[#This Row],[position]]) &amp; "_" &amp; TEXT(DATE(Table1[[#This Row],[season]], 1, 1), "yyyy") &amp; "_" &amp; LOWER(_xlfn.TEXTAFTER(Table1[[#This Row],[player_name]], " ", -1))</f>
        <v>qb_2010_bradford</v>
      </c>
      <c r="B2" s="1" t="s">
        <v>265</v>
      </c>
      <c r="C2">
        <v>2010</v>
      </c>
      <c r="D2" s="1" t="s">
        <v>27</v>
      </c>
      <c r="E2">
        <v>245.7</v>
      </c>
      <c r="F2">
        <v>16</v>
      </c>
      <c r="G2">
        <v>0</v>
      </c>
    </row>
    <row r="3" spans="1:7" x14ac:dyDescent="0.35">
      <c r="A3" t="str">
        <f>LOWER(Table1[[#This Row],[position]]) &amp; "_" &amp; TEXT(DATE(Table1[[#This Row],[season]], 1, 1), "yyyy") &amp; "_" &amp; LOWER(_xlfn.TEXTAFTER(Table1[[#This Row],[player_name]], " ", -1))</f>
        <v>rb_2010_spiller</v>
      </c>
      <c r="B3" s="1" t="s">
        <v>266</v>
      </c>
      <c r="C3">
        <v>2010</v>
      </c>
      <c r="D3" s="1" t="s">
        <v>29</v>
      </c>
      <c r="E3">
        <v>95.2</v>
      </c>
      <c r="F3">
        <v>49</v>
      </c>
      <c r="G3">
        <v>0</v>
      </c>
    </row>
    <row r="4" spans="1:7" x14ac:dyDescent="0.35">
      <c r="A4" t="str">
        <f>LOWER(Table1[[#This Row],[position]]) &amp; "_" &amp; TEXT(DATE(Table1[[#This Row],[season]], 1, 1), "yyyy") &amp; "_" &amp; LOWER(_xlfn.TEXTAFTER(Table1[[#This Row],[player_name]], " ", -1))</f>
        <v>rb_2010_mathews</v>
      </c>
      <c r="B4" s="1" t="s">
        <v>267</v>
      </c>
      <c r="C4">
        <v>2010</v>
      </c>
      <c r="D4" s="1" t="s">
        <v>29</v>
      </c>
      <c r="E4">
        <v>158.30000000000001</v>
      </c>
      <c r="F4">
        <v>32</v>
      </c>
      <c r="G4">
        <v>0</v>
      </c>
    </row>
    <row r="5" spans="1:7" x14ac:dyDescent="0.35">
      <c r="A5" t="str">
        <f>LOWER(Table1[[#This Row],[position]]) &amp; "_" &amp; TEXT(DATE(Table1[[#This Row],[season]], 1, 1), "yyyy") &amp; "_" &amp; LOWER(_xlfn.TEXTAFTER(Table1[[#This Row],[player_name]], " ", -1))</f>
        <v>te_2010_gresham</v>
      </c>
      <c r="B5" s="1" t="s">
        <v>268</v>
      </c>
      <c r="C5">
        <v>2010</v>
      </c>
      <c r="D5" s="1" t="s">
        <v>83</v>
      </c>
      <c r="E5">
        <v>112.1</v>
      </c>
      <c r="F5">
        <v>16</v>
      </c>
      <c r="G5">
        <v>0</v>
      </c>
    </row>
    <row r="6" spans="1:7" x14ac:dyDescent="0.35">
      <c r="A6" t="str">
        <f>LOWER(Table1[[#This Row],[position]]) &amp; "_" &amp; TEXT(DATE(Table1[[#This Row],[season]], 1, 1), "yyyy") &amp; "_" &amp; LOWER(_xlfn.TEXTAFTER(Table1[[#This Row],[player_name]], " ", -1))</f>
        <v>wr_2010_thomas</v>
      </c>
      <c r="B6" s="1" t="s">
        <v>269</v>
      </c>
      <c r="C6">
        <v>2010</v>
      </c>
      <c r="D6" s="1" t="s">
        <v>28</v>
      </c>
      <c r="E6">
        <v>52.3</v>
      </c>
      <c r="F6">
        <v>87</v>
      </c>
      <c r="G6">
        <v>0</v>
      </c>
    </row>
    <row r="7" spans="1:7" x14ac:dyDescent="0.35">
      <c r="A7" t="str">
        <f>LOWER(Table1[[#This Row],[position]]) &amp; "_" &amp; TEXT(DATE(Table1[[#This Row],[season]], 1, 1), "yyyy") &amp; "_" &amp; LOWER(_xlfn.TEXTAFTER(Table1[[#This Row],[player_name]], " ", -1))</f>
        <v>wr_2010_bryant</v>
      </c>
      <c r="B7" s="1" t="s">
        <v>270</v>
      </c>
      <c r="C7">
        <v>2010</v>
      </c>
      <c r="D7" s="1" t="s">
        <v>28</v>
      </c>
      <c r="E7">
        <v>187.1</v>
      </c>
      <c r="F7">
        <v>24</v>
      </c>
      <c r="G7">
        <v>1</v>
      </c>
    </row>
    <row r="8" spans="1:7" x14ac:dyDescent="0.35">
      <c r="A8" t="str">
        <f>LOWER(Table1[[#This Row],[position]]) &amp; "_" &amp; TEXT(DATE(Table1[[#This Row],[season]], 1, 1), "yyyy") &amp; "_" &amp; LOWER(_xlfn.TEXTAFTER(Table1[[#This Row],[player_name]], " ", -1))</f>
        <v>qb_2010_tebow</v>
      </c>
      <c r="B8" s="1" t="s">
        <v>271</v>
      </c>
      <c r="C8">
        <v>2010</v>
      </c>
      <c r="D8" s="1" t="s">
        <v>27</v>
      </c>
      <c r="E8">
        <v>61.7</v>
      </c>
      <c r="F8">
        <v>39</v>
      </c>
      <c r="G8">
        <v>0</v>
      </c>
    </row>
    <row r="9" spans="1:7" x14ac:dyDescent="0.35">
      <c r="A9" t="str">
        <f>LOWER(Table1[[#This Row],[position]]) &amp; "_" &amp; TEXT(DATE(Table1[[#This Row],[season]], 1, 1), "yyyy") &amp; "_" &amp; LOWER(_xlfn.TEXTAFTER(Table1[[#This Row],[player_name]], " ", -1))</f>
        <v>rb_2010_best</v>
      </c>
      <c r="B9" s="1" t="s">
        <v>272</v>
      </c>
      <c r="C9">
        <v>2010</v>
      </c>
      <c r="D9" s="1" t="s">
        <v>29</v>
      </c>
      <c r="E9">
        <v>218.8</v>
      </c>
      <c r="F9">
        <v>16</v>
      </c>
      <c r="G9">
        <v>1</v>
      </c>
    </row>
    <row r="10" spans="1:7" x14ac:dyDescent="0.35">
      <c r="A10" t="str">
        <f>LOWER(Table1[[#This Row],[position]]) &amp; "_" &amp; TEXT(DATE(Table1[[#This Row],[season]], 1, 1), "yyyy") &amp; "_" &amp; LOWER(_xlfn.TEXTAFTER(Table1[[#This Row],[player_name]], " ", -1))</f>
        <v>qb_2011_newton</v>
      </c>
      <c r="B10" s="1" t="s">
        <v>255</v>
      </c>
      <c r="C10">
        <v>2011</v>
      </c>
      <c r="D10" s="1" t="s">
        <v>27</v>
      </c>
      <c r="E10">
        <v>385</v>
      </c>
      <c r="F10">
        <v>3</v>
      </c>
      <c r="G10">
        <v>1</v>
      </c>
    </row>
    <row r="11" spans="1:7" x14ac:dyDescent="0.35">
      <c r="A11" t="str">
        <f>LOWER(Table1[[#This Row],[position]]) &amp; "_" &amp; TEXT(DATE(Table1[[#This Row],[season]], 1, 1), "yyyy") &amp; "_" &amp; LOWER(_xlfn.TEXTAFTER(Table1[[#This Row],[player_name]], " ", -1))</f>
        <v>wr_2011_green</v>
      </c>
      <c r="B11" s="1" t="s">
        <v>256</v>
      </c>
      <c r="C11">
        <v>2011</v>
      </c>
      <c r="D11" s="1" t="s">
        <v>28</v>
      </c>
      <c r="E11">
        <v>247.7</v>
      </c>
      <c r="F11">
        <v>14</v>
      </c>
      <c r="G11">
        <v>1</v>
      </c>
    </row>
    <row r="12" spans="1:7" x14ac:dyDescent="0.35">
      <c r="A12" t="str">
        <f>LOWER(Table1[[#This Row],[position]]) &amp; "_" &amp; TEXT(DATE(Table1[[#This Row],[season]], 1, 1), "yyyy") &amp; "_" &amp; LOWER(_xlfn.TEXTAFTER(Table1[[#This Row],[player_name]], " ", -1))</f>
        <v>wr_2011_jones</v>
      </c>
      <c r="B12" s="1" t="s">
        <v>257</v>
      </c>
      <c r="C12">
        <v>2011</v>
      </c>
      <c r="D12" s="1" t="s">
        <v>28</v>
      </c>
      <c r="E12">
        <v>180.9</v>
      </c>
      <c r="F12">
        <v>26</v>
      </c>
      <c r="G12">
        <v>1</v>
      </c>
    </row>
    <row r="13" spans="1:7" x14ac:dyDescent="0.35">
      <c r="A13" t="str">
        <f>LOWER(Table1[[#This Row],[position]]) &amp; "_" &amp; TEXT(DATE(Table1[[#This Row],[season]], 1, 1), "yyyy") &amp; "_" &amp; LOWER(_xlfn.TEXTAFTER(Table1[[#This Row],[player_name]], " ", -1))</f>
        <v>qb_2011_locker</v>
      </c>
      <c r="B13" s="1" t="s">
        <v>258</v>
      </c>
      <c r="C13">
        <v>2011</v>
      </c>
      <c r="D13" s="1" t="s">
        <v>27</v>
      </c>
      <c r="E13">
        <v>18.7</v>
      </c>
      <c r="F13">
        <v>56</v>
      </c>
      <c r="G13">
        <v>0</v>
      </c>
    </row>
    <row r="14" spans="1:7" x14ac:dyDescent="0.35">
      <c r="A14" t="str">
        <f>LOWER(Table1[[#This Row],[position]]) &amp; "_" &amp; TEXT(DATE(Table1[[#This Row],[season]], 1, 1), "yyyy") &amp; "_" &amp; LOWER(_xlfn.TEXTAFTER(Table1[[#This Row],[player_name]], " ", -1))</f>
        <v>qb_2011_gabbert</v>
      </c>
      <c r="B14" s="1" t="s">
        <v>259</v>
      </c>
      <c r="C14">
        <v>2011</v>
      </c>
      <c r="D14" s="1" t="s">
        <v>27</v>
      </c>
      <c r="E14">
        <v>135.30000000000001</v>
      </c>
      <c r="F14">
        <v>32</v>
      </c>
      <c r="G14">
        <v>0</v>
      </c>
    </row>
    <row r="15" spans="1:7" x14ac:dyDescent="0.35">
      <c r="A15" t="str">
        <f>LOWER(Table1[[#This Row],[position]]) &amp; "_" &amp; TEXT(DATE(Table1[[#This Row],[season]], 1, 1), "yyyy") &amp; "_" &amp; LOWER(_xlfn.TEXTAFTER(Table1[[#This Row],[player_name]], " ", -1))</f>
        <v>qb_2011_ponder</v>
      </c>
      <c r="B15" s="1" t="s">
        <v>260</v>
      </c>
      <c r="C15">
        <v>2011</v>
      </c>
      <c r="D15" s="1" t="s">
        <v>27</v>
      </c>
      <c r="E15">
        <v>134</v>
      </c>
      <c r="F15">
        <v>28</v>
      </c>
      <c r="G15">
        <v>0</v>
      </c>
    </row>
    <row r="16" spans="1:7" x14ac:dyDescent="0.35">
      <c r="A16" t="str">
        <f>LOWER(Table1[[#This Row],[position]]) &amp; "_" &amp; TEXT(DATE(Table1[[#This Row],[season]], 1, 1), "yyyy") &amp; "_" &amp; LOWER(_xlfn.TEXTAFTER(Table1[[#This Row],[player_name]], " ", -1))</f>
        <v>wr_2011_baldwin</v>
      </c>
      <c r="B16" s="1" t="s">
        <v>261</v>
      </c>
      <c r="C16">
        <v>2011</v>
      </c>
      <c r="D16" s="1" t="s">
        <v>28</v>
      </c>
      <c r="E16">
        <v>30.1</v>
      </c>
      <c r="F16">
        <v>109</v>
      </c>
      <c r="G16">
        <v>0</v>
      </c>
    </row>
    <row r="17" spans="1:7" x14ac:dyDescent="0.35">
      <c r="A17" t="str">
        <f>LOWER(Table1[[#This Row],[position]]) &amp; "_" &amp; TEXT(DATE(Table1[[#This Row],[season]], 1, 1), "yyyy") &amp; "_" &amp; LOWER(_xlfn.TEXTAFTER(Table1[[#This Row],[player_name]], " ", -1))</f>
        <v>rb_2011_ingram</v>
      </c>
      <c r="B17" s="1" t="s">
        <v>262</v>
      </c>
      <c r="C17">
        <v>2011</v>
      </c>
      <c r="D17" s="1" t="s">
        <v>29</v>
      </c>
      <c r="E17">
        <v>131</v>
      </c>
      <c r="F17">
        <v>43</v>
      </c>
      <c r="G17">
        <v>0</v>
      </c>
    </row>
    <row r="18" spans="1:7" x14ac:dyDescent="0.35">
      <c r="A18" t="str">
        <f>LOWER(Table1[[#This Row],[position]]) &amp; "_" &amp; TEXT(DATE(Table1[[#This Row],[season]], 1, 1), "yyyy") &amp; "_" &amp; LOWER(_xlfn.TEXTAFTER(Table1[[#This Row],[player_name]], " ", -1))</f>
        <v>qb_2012_luck</v>
      </c>
      <c r="B18" s="1" t="s">
        <v>241</v>
      </c>
      <c r="C18">
        <v>2012</v>
      </c>
      <c r="D18" s="1" t="s">
        <v>27</v>
      </c>
      <c r="E18">
        <v>339.7</v>
      </c>
      <c r="F18">
        <v>9</v>
      </c>
      <c r="G18">
        <v>1</v>
      </c>
    </row>
    <row r="19" spans="1:7" x14ac:dyDescent="0.35">
      <c r="A19" t="str">
        <f>LOWER(Table1[[#This Row],[position]]) &amp; "_" &amp; TEXT(DATE(Table1[[#This Row],[season]], 1, 1), "yyyy") &amp; "_" &amp; LOWER(_xlfn.TEXTAFTER(Table1[[#This Row],[player_name]], " ", -1))</f>
        <v>qb_2012_griffin-iii</v>
      </c>
      <c r="B19" s="1" t="s">
        <v>251</v>
      </c>
      <c r="C19">
        <v>2012</v>
      </c>
      <c r="D19" s="1" t="s">
        <v>27</v>
      </c>
      <c r="E19">
        <v>357.1</v>
      </c>
      <c r="F19">
        <v>5</v>
      </c>
      <c r="G19">
        <v>1</v>
      </c>
    </row>
    <row r="20" spans="1:7" x14ac:dyDescent="0.35">
      <c r="A20" t="str">
        <f>LOWER(Table1[[#This Row],[position]]) &amp; "_" &amp; TEXT(DATE(Table1[[#This Row],[season]], 1, 1), "yyyy") &amp; "_" &amp; LOWER(_xlfn.TEXTAFTER(Table1[[#This Row],[player_name]], " ", -1))</f>
        <v>rb_2012_richardson</v>
      </c>
      <c r="B20" s="1" t="s">
        <v>242</v>
      </c>
      <c r="C20">
        <v>2012</v>
      </c>
      <c r="D20" s="1" t="s">
        <v>29</v>
      </c>
      <c r="E20">
        <v>267.89999999999998</v>
      </c>
      <c r="F20">
        <v>8</v>
      </c>
      <c r="G20">
        <v>1</v>
      </c>
    </row>
    <row r="21" spans="1:7" x14ac:dyDescent="0.35">
      <c r="A21" t="str">
        <f>LOWER(Table1[[#This Row],[position]]) &amp; "_" &amp; TEXT(DATE(Table1[[#This Row],[season]], 1, 1), "yyyy") &amp; "_" &amp; LOWER(_xlfn.TEXTAFTER(Table1[[#This Row],[player_name]], " ", -1))</f>
        <v>wr_2012_blackmon</v>
      </c>
      <c r="B21" s="1" t="s">
        <v>243</v>
      </c>
      <c r="C21">
        <v>2012</v>
      </c>
      <c r="D21" s="1" t="s">
        <v>28</v>
      </c>
      <c r="E21">
        <v>192.5</v>
      </c>
      <c r="F21">
        <v>28</v>
      </c>
      <c r="G21">
        <v>1</v>
      </c>
    </row>
    <row r="22" spans="1:7" x14ac:dyDescent="0.35">
      <c r="A22" t="str">
        <f>LOWER(Table1[[#This Row],[position]]) &amp; "_" &amp; TEXT(DATE(Table1[[#This Row],[season]], 1, 1), "yyyy") &amp; "_" &amp; LOWER(_xlfn.TEXTAFTER(Table1[[#This Row],[player_name]], " ", -1))</f>
        <v>qb_2012_tannehill</v>
      </c>
      <c r="B22" s="1" t="s">
        <v>244</v>
      </c>
      <c r="C22">
        <v>2012</v>
      </c>
      <c r="D22" s="1" t="s">
        <v>27</v>
      </c>
      <c r="E22">
        <v>250.6</v>
      </c>
      <c r="F22">
        <v>19</v>
      </c>
      <c r="G22">
        <v>0</v>
      </c>
    </row>
    <row r="23" spans="1:7" x14ac:dyDescent="0.35">
      <c r="A23" t="str">
        <f>LOWER(Table1[[#This Row],[position]]) &amp; "_" &amp; TEXT(DATE(Table1[[#This Row],[season]], 1, 1), "yyyy") &amp; "_" &amp; LOWER(_xlfn.TEXTAFTER(Table1[[#This Row],[player_name]], " ", -1))</f>
        <v>wr_2012_floyd</v>
      </c>
      <c r="B23" s="1" t="s">
        <v>245</v>
      </c>
      <c r="C23">
        <v>2012</v>
      </c>
      <c r="D23" s="1" t="s">
        <v>28</v>
      </c>
      <c r="E23">
        <v>65.2</v>
      </c>
      <c r="F23">
        <v>45</v>
      </c>
      <c r="G23">
        <v>0</v>
      </c>
    </row>
    <row r="24" spans="1:7" x14ac:dyDescent="0.35">
      <c r="A24" t="str">
        <f>LOWER(Table1[[#This Row],[position]]) &amp; "_" &amp; TEXT(DATE(Table1[[#This Row],[season]], 1, 1), "yyyy") &amp; "_" &amp; LOWER(_xlfn.TEXTAFTER(Table1[[#This Row],[player_name]], " ", -1))</f>
        <v>wr_2012_wright</v>
      </c>
      <c r="B24" s="1" t="s">
        <v>246</v>
      </c>
      <c r="C24">
        <v>2012</v>
      </c>
      <c r="D24" s="1" t="s">
        <v>28</v>
      </c>
      <c r="E24">
        <v>189.6</v>
      </c>
      <c r="F24">
        <v>31</v>
      </c>
      <c r="G24">
        <v>1</v>
      </c>
    </row>
    <row r="25" spans="1:7" x14ac:dyDescent="0.35">
      <c r="A25" t="str">
        <f>LOWER(Table1[[#This Row],[position]]) &amp; "_" &amp; TEXT(DATE(Table1[[#This Row],[season]], 1, 1), "yyyy") &amp; "_" &amp; LOWER(_xlfn.TEXTAFTER(Table1[[#This Row],[player_name]], " ", -1))</f>
        <v>qb_2012_weeden</v>
      </c>
      <c r="B25" s="1" t="s">
        <v>247</v>
      </c>
      <c r="C25">
        <v>2012</v>
      </c>
      <c r="D25" s="1" t="s">
        <v>27</v>
      </c>
      <c r="E25">
        <v>219.8</v>
      </c>
      <c r="F25">
        <v>23</v>
      </c>
      <c r="G25">
        <v>0</v>
      </c>
    </row>
    <row r="26" spans="1:7" x14ac:dyDescent="0.35">
      <c r="A26" t="str">
        <f>LOWER(Table1[[#This Row],[position]]) &amp; "_" &amp; TEXT(DATE(Table1[[#This Row],[season]], 1, 1), "yyyy") &amp; "_" &amp; LOWER(_xlfn.TEXTAFTER(Table1[[#This Row],[player_name]], " ", -1))</f>
        <v>wr_2012_jenkins</v>
      </c>
      <c r="B26" s="1" t="s">
        <v>248</v>
      </c>
      <c r="C26">
        <v>2012</v>
      </c>
      <c r="D26" s="1" t="s">
        <v>28</v>
      </c>
      <c r="E26">
        <v>0</v>
      </c>
      <c r="F26">
        <v>999</v>
      </c>
      <c r="G26">
        <v>0</v>
      </c>
    </row>
    <row r="27" spans="1:7" x14ac:dyDescent="0.35">
      <c r="A27" t="str">
        <f>LOWER(Table1[[#This Row],[position]]) &amp; "_" &amp; TEXT(DATE(Table1[[#This Row],[season]], 1, 1), "yyyy") &amp; "_" &amp; LOWER(_xlfn.TEXTAFTER(Table1[[#This Row],[player_name]], " ", -1))</f>
        <v>rb_2012_martin</v>
      </c>
      <c r="B27" s="1" t="s">
        <v>249</v>
      </c>
      <c r="C27">
        <v>2012</v>
      </c>
      <c r="D27" s="1" t="s">
        <v>29</v>
      </c>
      <c r="E27">
        <v>319.60000000000002</v>
      </c>
      <c r="F27">
        <v>2</v>
      </c>
      <c r="G27">
        <v>1</v>
      </c>
    </row>
    <row r="28" spans="1:7" x14ac:dyDescent="0.35">
      <c r="A28" t="str">
        <f>LOWER(Table1[[#This Row],[position]]) &amp; "_" &amp; TEXT(DATE(Table1[[#This Row],[season]], 1, 1), "yyyy") &amp; "_" &amp; LOWER(_xlfn.TEXTAFTER(Table1[[#This Row],[player_name]], " ", -1))</f>
        <v>rb_2012_wilson</v>
      </c>
      <c r="B28" s="1" t="s">
        <v>250</v>
      </c>
      <c r="C28">
        <v>2012</v>
      </c>
      <c r="D28" s="1" t="s">
        <v>29</v>
      </c>
      <c r="E28">
        <v>74.400000000000006</v>
      </c>
      <c r="F28">
        <v>46</v>
      </c>
      <c r="G28">
        <v>0</v>
      </c>
    </row>
    <row r="29" spans="1:7" x14ac:dyDescent="0.35">
      <c r="A29" t="str">
        <f>LOWER(Table1[[#This Row],[position]]) &amp; "_" &amp; TEXT(DATE(Table1[[#This Row],[season]], 1, 1), "yyyy") &amp; "_" &amp; LOWER(_xlfn.TEXTAFTER(Table1[[#This Row],[player_name]], " ", -1))</f>
        <v>wr_2013_austin</v>
      </c>
      <c r="B29" s="1" t="s">
        <v>235</v>
      </c>
      <c r="C29">
        <v>2013</v>
      </c>
      <c r="D29" s="1" t="s">
        <v>28</v>
      </c>
      <c r="E29">
        <v>151.80000000000001</v>
      </c>
      <c r="F29">
        <v>44</v>
      </c>
      <c r="G29">
        <v>0</v>
      </c>
    </row>
    <row r="30" spans="1:7" x14ac:dyDescent="0.35">
      <c r="A30" t="str">
        <f>LOWER(Table1[[#This Row],[position]]) &amp; "_" &amp; TEXT(DATE(Table1[[#This Row],[season]], 1, 1), "yyyy") &amp; "_" &amp; LOWER(_xlfn.TEXTAFTER(Table1[[#This Row],[player_name]], " ", -1))</f>
        <v>qb_2013_manuel</v>
      </c>
      <c r="B30" s="1" t="s">
        <v>236</v>
      </c>
      <c r="C30">
        <v>2013</v>
      </c>
      <c r="D30" s="1" t="s">
        <v>27</v>
      </c>
      <c r="E30">
        <v>171.9</v>
      </c>
      <c r="F30">
        <v>27</v>
      </c>
      <c r="G30">
        <v>0</v>
      </c>
    </row>
    <row r="31" spans="1:7" x14ac:dyDescent="0.35">
      <c r="A31" t="str">
        <f>LOWER(Table1[[#This Row],[position]]) &amp; "_" &amp; TEXT(DATE(Table1[[#This Row],[season]], 1, 1), "yyyy") &amp; "_" &amp; LOWER(_xlfn.TEXTAFTER(Table1[[#This Row],[player_name]], " ", -1))</f>
        <v>te_2013_eifert</v>
      </c>
      <c r="B31" s="1" t="s">
        <v>237</v>
      </c>
      <c r="C31">
        <v>2013</v>
      </c>
      <c r="D31" s="1" t="s">
        <v>83</v>
      </c>
      <c r="E31">
        <v>65.5</v>
      </c>
      <c r="F31">
        <v>18</v>
      </c>
      <c r="G31">
        <v>0</v>
      </c>
    </row>
    <row r="32" spans="1:7" x14ac:dyDescent="0.35">
      <c r="A32" t="str">
        <f>LOWER(Table1[[#This Row],[position]]) &amp; "_" &amp; TEXT(DATE(Table1[[#This Row],[season]], 1, 1), "yyyy") &amp; "_" &amp; LOWER(_xlfn.TEXTAFTER(Table1[[#This Row],[player_name]], " ", -1))</f>
        <v>wr_2013_hopkins</v>
      </c>
      <c r="B32" s="1" t="s">
        <v>238</v>
      </c>
      <c r="C32">
        <v>2013</v>
      </c>
      <c r="D32" s="1" t="s">
        <v>28</v>
      </c>
      <c r="E32">
        <v>159.19999999999999</v>
      </c>
      <c r="F32">
        <v>25</v>
      </c>
      <c r="G32">
        <v>1</v>
      </c>
    </row>
    <row r="33" spans="1:7" x14ac:dyDescent="0.35">
      <c r="A33" t="str">
        <f>LOWER(Table1[[#This Row],[position]]) &amp; "_" &amp; TEXT(DATE(Table1[[#This Row],[season]], 1, 1), "yyyy") &amp; "_" &amp; LOWER(_xlfn.TEXTAFTER(Table1[[#This Row],[player_name]], " ", -1))</f>
        <v>wr_2013_patterson</v>
      </c>
      <c r="B33" s="1" t="s">
        <v>239</v>
      </c>
      <c r="C33">
        <v>2013</v>
      </c>
      <c r="D33" s="1" t="s">
        <v>28</v>
      </c>
      <c r="E33">
        <v>185.9</v>
      </c>
      <c r="F33">
        <v>29</v>
      </c>
      <c r="G33">
        <v>1</v>
      </c>
    </row>
    <row r="34" spans="1:7" x14ac:dyDescent="0.35">
      <c r="A34" t="str">
        <f>LOWER(Table1[[#This Row],[position]]) &amp; "_" &amp; TEXT(DATE(Table1[[#This Row],[season]], 1, 1), "yyyy") &amp; "_" &amp; LOWER(_xlfn.TEXTAFTER(Table1[[#This Row],[player_name]], " ", -1))</f>
        <v>qb_2014_bortles</v>
      </c>
      <c r="B34" s="1" t="s">
        <v>225</v>
      </c>
      <c r="C34">
        <v>2014</v>
      </c>
      <c r="D34" s="1" t="s">
        <v>27</v>
      </c>
      <c r="E34">
        <v>200.9</v>
      </c>
      <c r="F34">
        <v>24</v>
      </c>
      <c r="G34">
        <v>0</v>
      </c>
    </row>
    <row r="35" spans="1:7" x14ac:dyDescent="0.35">
      <c r="A35" t="str">
        <f>LOWER(Table1[[#This Row],[position]]) &amp; "_" &amp; TEXT(DATE(Table1[[#This Row],[season]], 1, 1), "yyyy") &amp; "_" &amp; LOWER(_xlfn.TEXTAFTER(Table1[[#This Row],[player_name]], " ", -1))</f>
        <v>wr_2014_watkins</v>
      </c>
      <c r="B35" s="1" t="s">
        <v>226</v>
      </c>
      <c r="C35">
        <v>2014</v>
      </c>
      <c r="D35" s="1" t="s">
        <v>28</v>
      </c>
      <c r="E35">
        <v>241.2</v>
      </c>
      <c r="F35">
        <v>23</v>
      </c>
      <c r="G35">
        <v>1</v>
      </c>
    </row>
    <row r="36" spans="1:7" x14ac:dyDescent="0.35">
      <c r="A36" t="str">
        <f>LOWER(Table1[[#This Row],[position]]) &amp; "_" &amp; TEXT(DATE(Table1[[#This Row],[season]], 1, 1), "yyyy") &amp; "_" &amp; LOWER(_xlfn.TEXTAFTER(Table1[[#This Row],[player_name]], " ", -1))</f>
        <v>wr_2014_evans</v>
      </c>
      <c r="B36" s="1" t="s">
        <v>227</v>
      </c>
      <c r="C36">
        <v>2014</v>
      </c>
      <c r="D36" s="1" t="s">
        <v>28</v>
      </c>
      <c r="E36">
        <v>271.10000000000002</v>
      </c>
      <c r="F36">
        <v>13</v>
      </c>
      <c r="G36">
        <v>1</v>
      </c>
    </row>
    <row r="37" spans="1:7" x14ac:dyDescent="0.35">
      <c r="A37" t="str">
        <f>LOWER(Table1[[#This Row],[position]]) &amp; "_" &amp; TEXT(DATE(Table1[[#This Row],[season]], 1, 1), "yyyy") &amp; "_" &amp; LOWER(_xlfn.TEXTAFTER(Table1[[#This Row],[player_name]], " ", -1))</f>
        <v>te_2014_ebron</v>
      </c>
      <c r="B37" s="1" t="s">
        <v>228</v>
      </c>
      <c r="C37">
        <v>2014</v>
      </c>
      <c r="D37" s="1" t="s">
        <v>83</v>
      </c>
      <c r="E37">
        <v>69.8</v>
      </c>
      <c r="F37">
        <v>29</v>
      </c>
      <c r="G37">
        <v>0</v>
      </c>
    </row>
    <row r="38" spans="1:7" x14ac:dyDescent="0.35">
      <c r="A38" t="str">
        <f>LOWER(Table1[[#This Row],[position]]) &amp; "_" &amp; TEXT(DATE(Table1[[#This Row],[season]], 1, 1), "yyyy") &amp; "_" &amp; LOWER(_xlfn.TEXTAFTER(Table1[[#This Row],[player_name]], " ", -1))</f>
        <v>wr_2014_beckham-jr.</v>
      </c>
      <c r="B38" s="1" t="s">
        <v>233</v>
      </c>
      <c r="C38">
        <v>2014</v>
      </c>
      <c r="D38" s="1" t="s">
        <v>28</v>
      </c>
      <c r="E38">
        <v>295</v>
      </c>
      <c r="F38">
        <v>5</v>
      </c>
      <c r="G38">
        <v>1</v>
      </c>
    </row>
    <row r="39" spans="1:7" x14ac:dyDescent="0.35">
      <c r="A39" t="str">
        <f>LOWER(Table1[[#This Row],[position]]) &amp; "_" &amp; TEXT(DATE(Table1[[#This Row],[season]], 1, 1), "yyyy") &amp; "_" &amp; LOWER(_xlfn.TEXTAFTER(Table1[[#This Row],[player_name]], " ", -1))</f>
        <v>wr_2014_cooks</v>
      </c>
      <c r="B39" s="1" t="s">
        <v>229</v>
      </c>
      <c r="C39">
        <v>2014</v>
      </c>
      <c r="D39" s="1" t="s">
        <v>28</v>
      </c>
      <c r="E39">
        <v>154</v>
      </c>
      <c r="F39">
        <v>43</v>
      </c>
      <c r="G39">
        <v>0</v>
      </c>
    </row>
    <row r="40" spans="1:7" x14ac:dyDescent="0.35">
      <c r="A40" t="str">
        <f>LOWER(Table1[[#This Row],[position]]) &amp; "_" &amp; TEXT(DATE(Table1[[#This Row],[season]], 1, 1), "yyyy") &amp; "_" &amp; LOWER(_xlfn.TEXTAFTER(Table1[[#This Row],[player_name]], " ", -1))</f>
        <v>qb_2014_manziel</v>
      </c>
      <c r="B40" s="1" t="s">
        <v>230</v>
      </c>
      <c r="C40">
        <v>2014</v>
      </c>
      <c r="D40" s="1" t="s">
        <v>27</v>
      </c>
      <c r="E40">
        <v>29.9</v>
      </c>
      <c r="F40">
        <v>46</v>
      </c>
      <c r="G40">
        <v>0</v>
      </c>
    </row>
    <row r="41" spans="1:7" x14ac:dyDescent="0.35">
      <c r="A41" t="str">
        <f>LOWER(Table1[[#This Row],[position]]) &amp; "_" &amp; TEXT(DATE(Table1[[#This Row],[season]], 1, 1), "yyyy") &amp; "_" &amp; LOWER(_xlfn.TEXTAFTER(Table1[[#This Row],[player_name]], " ", -1))</f>
        <v>wr_2014_benjamin</v>
      </c>
      <c r="B41" s="1" t="s">
        <v>231</v>
      </c>
      <c r="C41">
        <v>2014</v>
      </c>
      <c r="D41" s="1" t="s">
        <v>28</v>
      </c>
      <c r="E41">
        <v>250.8</v>
      </c>
      <c r="F41">
        <v>16</v>
      </c>
      <c r="G41">
        <v>1</v>
      </c>
    </row>
    <row r="42" spans="1:7" x14ac:dyDescent="0.35">
      <c r="A42" t="str">
        <f>LOWER(Table1[[#This Row],[position]]) &amp; "_" &amp; TEXT(DATE(Table1[[#This Row],[season]], 1, 1), "yyyy") &amp; "_" &amp; LOWER(_xlfn.TEXTAFTER(Table1[[#This Row],[player_name]], " ", -1))</f>
        <v>qb_2014_bridgewater</v>
      </c>
      <c r="B42" s="1" t="s">
        <v>232</v>
      </c>
      <c r="C42">
        <v>2014</v>
      </c>
      <c r="D42" s="1" t="s">
        <v>27</v>
      </c>
      <c r="E42">
        <v>191.7</v>
      </c>
      <c r="F42">
        <v>25</v>
      </c>
      <c r="G42">
        <v>0</v>
      </c>
    </row>
    <row r="43" spans="1:7" x14ac:dyDescent="0.35">
      <c r="A43" t="str">
        <f>LOWER(Table1[[#This Row],[position]]) &amp; "_" &amp; TEXT(DATE(Table1[[#This Row],[season]], 1, 1), "yyyy") &amp; "_" &amp; LOWER(_xlfn.TEXTAFTER(Table1[[#This Row],[player_name]], " ", -1))</f>
        <v>qb_2015_winston</v>
      </c>
      <c r="B43" s="1" t="s">
        <v>17</v>
      </c>
      <c r="C43">
        <v>2015</v>
      </c>
      <c r="D43" s="1" t="s">
        <v>27</v>
      </c>
      <c r="E43">
        <v>307.8</v>
      </c>
      <c r="F43">
        <v>13</v>
      </c>
      <c r="G43">
        <v>0</v>
      </c>
    </row>
    <row r="44" spans="1:7" x14ac:dyDescent="0.35">
      <c r="A44" t="str">
        <f>LOWER(Table1[[#This Row],[position]]) &amp; "_" &amp; TEXT(DATE(Table1[[#This Row],[season]], 1, 1), "yyyy") &amp; "_" &amp; LOWER(_xlfn.TEXTAFTER(Table1[[#This Row],[player_name]], " ", -1))</f>
        <v>qb_2015_mariota</v>
      </c>
      <c r="B44" s="1" t="s">
        <v>18</v>
      </c>
      <c r="C44">
        <v>2015</v>
      </c>
      <c r="D44" s="1" t="s">
        <v>27</v>
      </c>
      <c r="E44">
        <v>228</v>
      </c>
      <c r="F44">
        <v>24</v>
      </c>
      <c r="G44">
        <v>0</v>
      </c>
    </row>
    <row r="45" spans="1:7" x14ac:dyDescent="0.35">
      <c r="A45" t="str">
        <f>LOWER(Table1[[#This Row],[position]]) &amp; "_" &amp; TEXT(DATE(Table1[[#This Row],[season]], 1, 1), "yyyy") &amp; "_" &amp; LOWER(_xlfn.TEXTAFTER(Table1[[#This Row],[player_name]], " ", -1))</f>
        <v>wr_2015_cooper</v>
      </c>
      <c r="B45" s="1" t="s">
        <v>19</v>
      </c>
      <c r="C45">
        <v>2015</v>
      </c>
      <c r="D45" s="1" t="s">
        <v>28</v>
      </c>
      <c r="E45">
        <v>250</v>
      </c>
      <c r="F45">
        <v>21</v>
      </c>
      <c r="G45">
        <v>1</v>
      </c>
    </row>
    <row r="46" spans="1:7" x14ac:dyDescent="0.35">
      <c r="A46" t="str">
        <f>LOWER(Table1[[#This Row],[position]]) &amp; "_" &amp; TEXT(DATE(Table1[[#This Row],[season]], 1, 1), "yyyy") &amp; "_" &amp; LOWER(_xlfn.TEXTAFTER(Table1[[#This Row],[player_name]], " ", -1))</f>
        <v>wr_2015_white</v>
      </c>
      <c r="B46" s="1" t="s">
        <v>20</v>
      </c>
      <c r="C46">
        <v>2015</v>
      </c>
      <c r="D46" s="1" t="s">
        <v>28</v>
      </c>
      <c r="E46">
        <v>0</v>
      </c>
      <c r="F46">
        <v>999</v>
      </c>
      <c r="G46">
        <v>0</v>
      </c>
    </row>
    <row r="47" spans="1:7" x14ac:dyDescent="0.35">
      <c r="A47" t="str">
        <f>LOWER(Table1[[#This Row],[position]]) &amp; "_" &amp; TEXT(DATE(Table1[[#This Row],[season]], 1, 1), "yyyy") &amp; "_" &amp; LOWER(_xlfn.TEXTAFTER(Table1[[#This Row],[player_name]], " ", -1))</f>
        <v>rb_2015_gurley</v>
      </c>
      <c r="B47" s="1" t="s">
        <v>21</v>
      </c>
      <c r="C47">
        <v>2015</v>
      </c>
      <c r="D47" s="1" t="s">
        <v>29</v>
      </c>
      <c r="E47">
        <v>229.4</v>
      </c>
      <c r="F47">
        <v>9</v>
      </c>
      <c r="G47">
        <v>1</v>
      </c>
    </row>
    <row r="48" spans="1:7" x14ac:dyDescent="0.35">
      <c r="A48" t="str">
        <f>LOWER(Table1[[#This Row],[position]]) &amp; "_" &amp; TEXT(DATE(Table1[[#This Row],[season]], 1, 1), "yyyy") &amp; "_" &amp; LOWER(_xlfn.TEXTAFTER(Table1[[#This Row],[player_name]], " ", -1))</f>
        <v>wr_2015_parker</v>
      </c>
      <c r="B48" s="1" t="s">
        <v>22</v>
      </c>
      <c r="C48">
        <v>2015</v>
      </c>
      <c r="D48" s="1" t="s">
        <v>28</v>
      </c>
      <c r="E48">
        <v>115.4</v>
      </c>
      <c r="F48">
        <v>58</v>
      </c>
      <c r="G48">
        <v>0</v>
      </c>
    </row>
    <row r="49" spans="1:7" x14ac:dyDescent="0.35">
      <c r="A49" t="str">
        <f>LOWER(Table1[[#This Row],[position]]) &amp; "_" &amp; TEXT(DATE(Table1[[#This Row],[season]], 1, 1), "yyyy") &amp; "_" &amp; LOWER(_xlfn.TEXTAFTER(Table1[[#This Row],[player_name]], " ", -1))</f>
        <v>rb_2015_gordon</v>
      </c>
      <c r="B49" s="1" t="s">
        <v>23</v>
      </c>
      <c r="C49">
        <v>2015</v>
      </c>
      <c r="D49" s="1" t="s">
        <v>29</v>
      </c>
      <c r="E49">
        <v>110.7</v>
      </c>
      <c r="F49">
        <v>42</v>
      </c>
      <c r="G49">
        <v>0</v>
      </c>
    </row>
    <row r="50" spans="1:7" x14ac:dyDescent="0.35">
      <c r="A50" t="str">
        <f>LOWER(Table1[[#This Row],[position]]) &amp; "_" &amp; TEXT(DATE(Table1[[#This Row],[season]], 1, 1), "yyyy") &amp; "_" &amp; LOWER(_xlfn.TEXTAFTER(Table1[[#This Row],[player_name]], " ", -1))</f>
        <v>wr_2015_agholor</v>
      </c>
      <c r="B50" s="1" t="s">
        <v>24</v>
      </c>
      <c r="C50">
        <v>2015</v>
      </c>
      <c r="D50" s="1" t="s">
        <v>28</v>
      </c>
      <c r="E50">
        <v>104.3</v>
      </c>
      <c r="F50">
        <v>61</v>
      </c>
      <c r="G50">
        <v>0</v>
      </c>
    </row>
    <row r="51" spans="1:7" x14ac:dyDescent="0.35">
      <c r="A51" t="str">
        <f>LOWER(Table1[[#This Row],[position]]) &amp; "_" &amp; TEXT(DATE(Table1[[#This Row],[season]], 1, 1), "yyyy") &amp; "_" &amp; LOWER(_xlfn.TEXTAFTER(Table1[[#This Row],[player_name]], " ", -1))</f>
        <v>wr_2015_perriman</v>
      </c>
      <c r="B51" s="1" t="s">
        <v>25</v>
      </c>
      <c r="C51">
        <v>2015</v>
      </c>
      <c r="D51" s="1" t="s">
        <v>28</v>
      </c>
      <c r="E51">
        <v>0</v>
      </c>
      <c r="F51">
        <v>999</v>
      </c>
      <c r="G51">
        <v>0</v>
      </c>
    </row>
    <row r="52" spans="1:7" x14ac:dyDescent="0.35">
      <c r="A52" t="str">
        <f>LOWER(Table1[[#This Row],[position]]) &amp; "_" &amp; TEXT(DATE(Table1[[#This Row],[season]], 1, 1), "yyyy") &amp; "_" &amp; LOWER(_xlfn.TEXTAFTER(Table1[[#This Row],[player_name]], " ", -1))</f>
        <v>wr_2015_dorsett</v>
      </c>
      <c r="B52" s="1" t="s">
        <v>26</v>
      </c>
      <c r="C52">
        <v>2015</v>
      </c>
      <c r="D52" s="1" t="s">
        <v>28</v>
      </c>
      <c r="E52">
        <v>76.5</v>
      </c>
      <c r="F52">
        <v>84</v>
      </c>
      <c r="G52">
        <v>0</v>
      </c>
    </row>
    <row r="53" spans="1:7" x14ac:dyDescent="0.35">
      <c r="A53" t="str">
        <f>LOWER(Table1[[#This Row],[position]]) &amp; "_" &amp; TEXT(DATE(Table1[[#This Row],[season]], 1, 1), "yyyy") &amp; "_" &amp; LOWER(_xlfn.TEXTAFTER(Table1[[#This Row],[player_name]], " ", -1))</f>
        <v>qb_2016_goff</v>
      </c>
      <c r="B53" s="1" t="s">
        <v>50</v>
      </c>
      <c r="C53">
        <v>2016</v>
      </c>
      <c r="D53" s="1" t="s">
        <v>27</v>
      </c>
      <c r="E53">
        <v>44.8</v>
      </c>
      <c r="F53">
        <v>41</v>
      </c>
      <c r="G53">
        <v>0</v>
      </c>
    </row>
    <row r="54" spans="1:7" x14ac:dyDescent="0.35">
      <c r="A54" t="str">
        <f>LOWER(Table1[[#This Row],[position]]) &amp; "_" &amp; TEXT(DATE(Table1[[#This Row],[season]], 1, 1), "yyyy") &amp; "_" &amp; LOWER(_xlfn.TEXTAFTER(Table1[[#This Row],[player_name]], " ", -1))</f>
        <v>qb_2016_wentz</v>
      </c>
      <c r="B54" s="1" t="s">
        <v>51</v>
      </c>
      <c r="C54">
        <v>2016</v>
      </c>
      <c r="D54" s="1" t="s">
        <v>27</v>
      </c>
      <c r="E54">
        <v>274.7</v>
      </c>
      <c r="F54">
        <v>24</v>
      </c>
      <c r="G54">
        <v>0</v>
      </c>
    </row>
    <row r="55" spans="1:7" x14ac:dyDescent="0.35">
      <c r="A55" t="str">
        <f>LOWER(Table1[[#This Row],[position]]) &amp; "_" &amp; TEXT(DATE(Table1[[#This Row],[season]], 1, 1), "yyyy") &amp; "_" &amp; LOWER(_xlfn.TEXTAFTER(Table1[[#This Row],[player_name]], " ", -1))</f>
        <v>rb_2016_elliott</v>
      </c>
      <c r="B55" s="1" t="s">
        <v>52</v>
      </c>
      <c r="C55">
        <v>2016</v>
      </c>
      <c r="D55" s="1" t="s">
        <v>29</v>
      </c>
      <c r="E55">
        <v>325.39999999999998</v>
      </c>
      <c r="F55">
        <v>2</v>
      </c>
      <c r="G55">
        <v>1</v>
      </c>
    </row>
    <row r="56" spans="1:7" x14ac:dyDescent="0.35">
      <c r="A56" t="str">
        <f>LOWER(Table1[[#This Row],[position]]) &amp; "_" &amp; TEXT(DATE(Table1[[#This Row],[season]], 1, 1), "yyyy") &amp; "_" &amp; LOWER(_xlfn.TEXTAFTER(Table1[[#This Row],[player_name]], " ", -1))</f>
        <v>wr_2016_coleman</v>
      </c>
      <c r="B56" s="1" t="s">
        <v>53</v>
      </c>
      <c r="C56">
        <v>2016</v>
      </c>
      <c r="D56" s="1" t="s">
        <v>28</v>
      </c>
      <c r="E56">
        <v>85.3</v>
      </c>
      <c r="F56">
        <v>78</v>
      </c>
      <c r="G56">
        <v>0</v>
      </c>
    </row>
    <row r="57" spans="1:7" x14ac:dyDescent="0.35">
      <c r="A57" t="str">
        <f>LOWER(Table1[[#This Row],[position]]) &amp; "_" &amp; TEXT(DATE(Table1[[#This Row],[season]], 1, 1), "yyyy") &amp; "_" &amp; LOWER(_xlfn.TEXTAFTER(Table1[[#This Row],[player_name]], " ", -1))</f>
        <v>wr_2016_fuller</v>
      </c>
      <c r="B57" s="1" t="s">
        <v>54</v>
      </c>
      <c r="C57">
        <v>2016</v>
      </c>
      <c r="D57" s="1" t="s">
        <v>28</v>
      </c>
      <c r="E57">
        <v>176.5</v>
      </c>
      <c r="F57">
        <v>34</v>
      </c>
      <c r="G57">
        <v>1</v>
      </c>
    </row>
    <row r="58" spans="1:7" x14ac:dyDescent="0.35">
      <c r="A58" t="str">
        <f>LOWER(Table1[[#This Row],[position]]) &amp; "_" &amp; TEXT(DATE(Table1[[#This Row],[season]], 1, 1), "yyyy") &amp; "_" &amp; LOWER(_xlfn.TEXTAFTER(Table1[[#This Row],[player_name]], " ", -1))</f>
        <v>wr_2016_doctson</v>
      </c>
      <c r="B58" s="1" t="s">
        <v>55</v>
      </c>
      <c r="C58">
        <v>2016</v>
      </c>
      <c r="D58" s="1" t="s">
        <v>28</v>
      </c>
      <c r="E58">
        <v>16.600000000000001</v>
      </c>
      <c r="F58">
        <v>156</v>
      </c>
      <c r="G58">
        <v>0</v>
      </c>
    </row>
    <row r="59" spans="1:7" x14ac:dyDescent="0.35">
      <c r="A59" t="str">
        <f>LOWER(Table1[[#This Row],[position]]) &amp; "_" &amp; TEXT(DATE(Table1[[#This Row],[season]], 1, 1), "yyyy") &amp; "_" &amp; LOWER(_xlfn.TEXTAFTER(Table1[[#This Row],[player_name]], " ", -1))</f>
        <v>wr_2016_treadwell</v>
      </c>
      <c r="B59" s="1" t="s">
        <v>56</v>
      </c>
      <c r="C59">
        <v>2016</v>
      </c>
      <c r="D59" s="1" t="s">
        <v>28</v>
      </c>
      <c r="E59">
        <v>17.5</v>
      </c>
      <c r="F59">
        <v>151</v>
      </c>
      <c r="G59">
        <v>0</v>
      </c>
    </row>
    <row r="60" spans="1:7" x14ac:dyDescent="0.35">
      <c r="A60" t="str">
        <f>LOWER(Table1[[#This Row],[position]]) &amp; "_" &amp; TEXT(DATE(Table1[[#This Row],[season]], 1, 1), "yyyy") &amp; "_" &amp; LOWER(_xlfn.TEXTAFTER(Table1[[#This Row],[player_name]], " ", -1))</f>
        <v>qb_2016_lynch</v>
      </c>
      <c r="B60" s="1" t="s">
        <v>57</v>
      </c>
      <c r="C60">
        <v>2016</v>
      </c>
      <c r="D60" s="1" t="s">
        <v>27</v>
      </c>
      <c r="E60">
        <v>27.9</v>
      </c>
      <c r="F60">
        <v>44</v>
      </c>
      <c r="G60">
        <v>0</v>
      </c>
    </row>
    <row r="61" spans="1:7" x14ac:dyDescent="0.35">
      <c r="A61" t="str">
        <f>LOWER(Table1[[#This Row],[position]]) &amp; "_" &amp; TEXT(DATE(Table1[[#This Row],[season]], 1, 1), "yyyy") &amp; "_" &amp; LOWER(_xlfn.TEXTAFTER(Table1[[#This Row],[player_name]], " ", -1))</f>
        <v>qb_2017_trubisky</v>
      </c>
      <c r="B61" s="1" t="s">
        <v>72</v>
      </c>
      <c r="C61">
        <v>2017</v>
      </c>
      <c r="D61" s="1" t="s">
        <v>27</v>
      </c>
      <c r="E61">
        <v>174.7</v>
      </c>
      <c r="F61">
        <v>28</v>
      </c>
      <c r="G61">
        <v>0</v>
      </c>
    </row>
    <row r="62" spans="1:7" x14ac:dyDescent="0.35">
      <c r="A62" t="str">
        <f>LOWER(Table1[[#This Row],[position]]) &amp; "_" &amp; TEXT(DATE(Table1[[#This Row],[season]], 1, 1), "yyyy") &amp; "_" &amp; LOWER(_xlfn.TEXTAFTER(Table1[[#This Row],[player_name]], " ", -1))</f>
        <v>rb_2017_fournette</v>
      </c>
      <c r="B62" s="1" t="s">
        <v>73</v>
      </c>
      <c r="C62">
        <v>2017</v>
      </c>
      <c r="D62" s="1" t="s">
        <v>29</v>
      </c>
      <c r="E62">
        <v>260.60000000000002</v>
      </c>
      <c r="F62">
        <v>8</v>
      </c>
      <c r="G62">
        <v>1</v>
      </c>
    </row>
    <row r="63" spans="1:7" x14ac:dyDescent="0.35">
      <c r="A63" t="str">
        <f>LOWER(Table1[[#This Row],[position]]) &amp; "_" &amp; TEXT(DATE(Table1[[#This Row],[season]], 1, 1), "yyyy") &amp; "_" &amp; LOWER(_xlfn.TEXTAFTER(Table1[[#This Row],[player_name]], " ", -1))</f>
        <v>wr_2017_davis</v>
      </c>
      <c r="B63" s="1" t="s">
        <v>74</v>
      </c>
      <c r="C63">
        <v>2017</v>
      </c>
      <c r="D63" s="1" t="s">
        <v>28</v>
      </c>
      <c r="E63">
        <v>73.5</v>
      </c>
      <c r="F63">
        <v>90</v>
      </c>
      <c r="G63">
        <v>0</v>
      </c>
    </row>
    <row r="64" spans="1:7" x14ac:dyDescent="0.35">
      <c r="A64" t="str">
        <f>LOWER(Table1[[#This Row],[position]]) &amp; "_" &amp; TEXT(DATE(Table1[[#This Row],[season]], 1, 1), "yyyy") &amp; "_" &amp; LOWER(_xlfn.TEXTAFTER(Table1[[#This Row],[player_name]], " ", -1))</f>
        <v>wr_2017_williams</v>
      </c>
      <c r="B64" s="1" t="s">
        <v>75</v>
      </c>
      <c r="C64">
        <v>2017</v>
      </c>
      <c r="D64" s="1" t="s">
        <v>28</v>
      </c>
      <c r="E64">
        <v>23.5</v>
      </c>
      <c r="F64">
        <v>146</v>
      </c>
      <c r="G64">
        <v>0</v>
      </c>
    </row>
    <row r="65" spans="1:7" x14ac:dyDescent="0.35">
      <c r="A65" t="str">
        <f>LOWER(Table1[[#This Row],[position]]) &amp; "_" &amp; TEXT(DATE(Table1[[#This Row],[season]], 1, 1), "yyyy") &amp; "_" &amp; LOWER(_xlfn.TEXTAFTER(Table1[[#This Row],[player_name]], " ", -1))</f>
        <v>rb_2017_mccaffrey</v>
      </c>
      <c r="B65" s="1" t="s">
        <v>76</v>
      </c>
      <c r="C65">
        <v>2017</v>
      </c>
      <c r="D65" s="1" t="s">
        <v>29</v>
      </c>
      <c r="E65">
        <v>240.3</v>
      </c>
      <c r="F65">
        <v>11</v>
      </c>
      <c r="G65">
        <v>1</v>
      </c>
    </row>
    <row r="66" spans="1:7" x14ac:dyDescent="0.35">
      <c r="A66" t="str">
        <f>LOWER(Table1[[#This Row],[position]]) &amp; "_" &amp; TEXT(DATE(Table1[[#This Row],[season]], 1, 1), "yyyy") &amp; "_" &amp; LOWER(_xlfn.TEXTAFTER(Table1[[#This Row],[player_name]], " ", -1))</f>
        <v>wr_2017_ross</v>
      </c>
      <c r="B66" s="1" t="s">
        <v>77</v>
      </c>
      <c r="C66">
        <v>2017</v>
      </c>
      <c r="D66" s="1" t="s">
        <v>28</v>
      </c>
      <c r="E66">
        <v>2.1</v>
      </c>
      <c r="F66">
        <v>221</v>
      </c>
      <c r="G66">
        <v>0</v>
      </c>
    </row>
    <row r="67" spans="1:7" x14ac:dyDescent="0.35">
      <c r="A67" t="str">
        <f>LOWER(Table1[[#This Row],[position]]) &amp; "_" &amp; TEXT(DATE(Table1[[#This Row],[season]], 1, 1), "yyyy") &amp; "_" &amp; LOWER(_xlfn.TEXTAFTER(Table1[[#This Row],[player_name]], " ", -1))</f>
        <v>qb_2017_mahomes</v>
      </c>
      <c r="B67" s="1" t="s">
        <v>78</v>
      </c>
      <c r="C67">
        <v>2017</v>
      </c>
      <c r="D67" s="1" t="s">
        <v>27</v>
      </c>
      <c r="E67">
        <v>17.8</v>
      </c>
      <c r="F67">
        <v>59</v>
      </c>
      <c r="G67">
        <v>0</v>
      </c>
    </row>
    <row r="68" spans="1:7" x14ac:dyDescent="0.35">
      <c r="A68" t="str">
        <f>LOWER(Table1[[#This Row],[position]]) &amp; "_" &amp; TEXT(DATE(Table1[[#This Row],[season]], 1, 1), "yyyy") &amp; "_" &amp; LOWER(_xlfn.TEXTAFTER(Table1[[#This Row],[player_name]], " ", -1))</f>
        <v>qb_2017_watson</v>
      </c>
      <c r="B68" s="1" t="s">
        <v>79</v>
      </c>
      <c r="C68">
        <v>2017</v>
      </c>
      <c r="D68" s="1" t="s">
        <v>27</v>
      </c>
      <c r="E68">
        <v>174.5</v>
      </c>
      <c r="F68">
        <v>28</v>
      </c>
      <c r="G68">
        <v>0</v>
      </c>
    </row>
    <row r="69" spans="1:7" x14ac:dyDescent="0.35">
      <c r="A69" t="str">
        <f>LOWER(Table1[[#This Row],[position]]) &amp; "_" &amp; TEXT(DATE(Table1[[#This Row],[season]], 1, 1), "yyyy") &amp; "_" &amp; LOWER(_xlfn.TEXTAFTER(Table1[[#This Row],[player_name]], " ", -1))</f>
        <v>te_2017_howard</v>
      </c>
      <c r="B69" s="1" t="s">
        <v>80</v>
      </c>
      <c r="C69">
        <v>2017</v>
      </c>
      <c r="D69" s="1" t="s">
        <v>83</v>
      </c>
      <c r="E69">
        <v>122.2</v>
      </c>
      <c r="F69">
        <v>10</v>
      </c>
      <c r="G69">
        <v>1</v>
      </c>
    </row>
    <row r="70" spans="1:7" x14ac:dyDescent="0.35">
      <c r="A70" t="str">
        <f>LOWER(Table1[[#This Row],[position]]) &amp; "_" &amp; TEXT(DATE(Table1[[#This Row],[season]], 1, 1), "yyyy") &amp; "_" &amp; LOWER(_xlfn.TEXTAFTER(Table1[[#This Row],[player_name]], " ", -1))</f>
        <v>te_2017_engram</v>
      </c>
      <c r="B70" s="1" t="s">
        <v>81</v>
      </c>
      <c r="C70">
        <v>2017</v>
      </c>
      <c r="D70" s="1" t="s">
        <v>83</v>
      </c>
      <c r="E70">
        <v>173.6</v>
      </c>
      <c r="F70">
        <v>5</v>
      </c>
      <c r="G70">
        <v>1</v>
      </c>
    </row>
    <row r="71" spans="1:7" x14ac:dyDescent="0.35">
      <c r="A71" t="str">
        <f>LOWER(Table1[[#This Row],[position]]) &amp; "_" &amp; TEXT(DATE(Table1[[#This Row],[season]], 1, 1), "yyyy") &amp; "_" &amp; LOWER(_xlfn.TEXTAFTER(Table1[[#This Row],[player_name]], " ", -1))</f>
        <v>te_2017_njoku</v>
      </c>
      <c r="B71" s="1" t="s">
        <v>82</v>
      </c>
      <c r="C71">
        <v>2017</v>
      </c>
      <c r="D71" s="1" t="s">
        <v>83</v>
      </c>
      <c r="E71">
        <v>92.6</v>
      </c>
      <c r="F71">
        <v>21</v>
      </c>
      <c r="G71">
        <v>0</v>
      </c>
    </row>
    <row r="72" spans="1:7" x14ac:dyDescent="0.35">
      <c r="A72" t="str">
        <f>LOWER(Table1[[#This Row],[position]]) &amp; "_" &amp; TEXT(DATE(Table1[[#This Row],[season]], 1, 1), "yyyy") &amp; "_" &amp; LOWER(_xlfn.TEXTAFTER(Table1[[#This Row],[player_name]], " ", -1))</f>
        <v>qb_2018_mayfield</v>
      </c>
      <c r="B72" s="1" t="s">
        <v>96</v>
      </c>
      <c r="C72">
        <v>2018</v>
      </c>
      <c r="D72" s="1" t="s">
        <v>27</v>
      </c>
      <c r="E72">
        <v>295.3</v>
      </c>
      <c r="F72">
        <v>16</v>
      </c>
      <c r="G72">
        <v>0</v>
      </c>
    </row>
    <row r="73" spans="1:7" x14ac:dyDescent="0.35">
      <c r="A73" t="str">
        <f>LOWER(Table1[[#This Row],[position]]) &amp; "_" &amp; TEXT(DATE(Table1[[#This Row],[season]], 1, 1), "yyyy") &amp; "_" &amp; LOWER(_xlfn.TEXTAFTER(Table1[[#This Row],[player_name]], " ", -1))</f>
        <v>rb_2018_barkley</v>
      </c>
      <c r="B73" s="1" t="s">
        <v>97</v>
      </c>
      <c r="C73">
        <v>2018</v>
      </c>
      <c r="D73" s="1" t="s">
        <v>29</v>
      </c>
      <c r="E73">
        <v>385.8</v>
      </c>
      <c r="F73">
        <v>1</v>
      </c>
      <c r="G73">
        <v>1</v>
      </c>
    </row>
    <row r="74" spans="1:7" x14ac:dyDescent="0.35">
      <c r="A74" t="str">
        <f>LOWER(Table1[[#This Row],[position]]) &amp; "_" &amp; TEXT(DATE(Table1[[#This Row],[season]], 1, 1), "yyyy") &amp; "_" &amp; LOWER(_xlfn.TEXTAFTER(Table1[[#This Row],[player_name]], " ", -1))</f>
        <v>qb_2018_darnold</v>
      </c>
      <c r="B74" s="1" t="s">
        <v>98</v>
      </c>
      <c r="C74">
        <v>2018</v>
      </c>
      <c r="D74" s="1" t="s">
        <v>27</v>
      </c>
      <c r="E74">
        <v>214.1</v>
      </c>
      <c r="F74">
        <v>29</v>
      </c>
      <c r="G74">
        <v>0</v>
      </c>
    </row>
    <row r="75" spans="1:7" x14ac:dyDescent="0.35">
      <c r="A75" t="str">
        <f>LOWER(Table1[[#This Row],[position]]) &amp; "_" &amp; TEXT(DATE(Table1[[#This Row],[season]], 1, 1), "yyyy") &amp; "_" &amp; LOWER(_xlfn.TEXTAFTER(Table1[[#This Row],[player_name]], " ", -1))</f>
        <v>qb_2018_allen</v>
      </c>
      <c r="B75" s="1" t="s">
        <v>99</v>
      </c>
      <c r="C75">
        <v>2018</v>
      </c>
      <c r="D75" s="1" t="s">
        <v>27</v>
      </c>
      <c r="E75">
        <v>297.60000000000002</v>
      </c>
      <c r="F75">
        <v>15</v>
      </c>
      <c r="G75">
        <v>0</v>
      </c>
    </row>
    <row r="76" spans="1:7" x14ac:dyDescent="0.35">
      <c r="A76" t="str">
        <f>LOWER(Table1[[#This Row],[position]]) &amp; "_" &amp; TEXT(DATE(Table1[[#This Row],[season]], 1, 1), "yyyy") &amp; "_" &amp; LOWER(_xlfn.TEXTAFTER(Table1[[#This Row],[player_name]], " ", -1))</f>
        <v>qb_2018_rosen</v>
      </c>
      <c r="B76" s="1" t="s">
        <v>100</v>
      </c>
      <c r="C76">
        <v>2018</v>
      </c>
      <c r="D76" s="1" t="s">
        <v>27</v>
      </c>
      <c r="E76">
        <v>120.2</v>
      </c>
      <c r="F76">
        <v>35</v>
      </c>
      <c r="G76">
        <v>0</v>
      </c>
    </row>
    <row r="77" spans="1:7" x14ac:dyDescent="0.35">
      <c r="A77" t="str">
        <f>LOWER(Table1[[#This Row],[position]]) &amp; "_" &amp; TEXT(DATE(Table1[[#This Row],[season]], 1, 1), "yyyy") &amp; "_" &amp; LOWER(_xlfn.TEXTAFTER(Table1[[#This Row],[player_name]], " ", -1))</f>
        <v>wr_2018_moore</v>
      </c>
      <c r="B77" s="1" t="s">
        <v>101</v>
      </c>
      <c r="C77">
        <v>2018</v>
      </c>
      <c r="D77" s="1" t="s">
        <v>28</v>
      </c>
      <c r="E77">
        <v>173.8</v>
      </c>
      <c r="F77">
        <v>39</v>
      </c>
      <c r="G77">
        <v>0</v>
      </c>
    </row>
    <row r="78" spans="1:7" x14ac:dyDescent="0.35">
      <c r="A78" t="str">
        <f>LOWER(Table1[[#This Row],[position]]) &amp; "_" &amp; TEXT(DATE(Table1[[#This Row],[season]], 1, 1), "yyyy") &amp; "_" &amp; LOWER(_xlfn.TEXTAFTER(Table1[[#This Row],[player_name]], " ", -1))</f>
        <v>te_2018_hurst</v>
      </c>
      <c r="B78" s="1" t="s">
        <v>102</v>
      </c>
      <c r="C78">
        <v>2018</v>
      </c>
      <c r="D78" s="1" t="s">
        <v>83</v>
      </c>
      <c r="E78">
        <v>33.299999999999997</v>
      </c>
      <c r="F78">
        <v>52</v>
      </c>
      <c r="G78">
        <v>0</v>
      </c>
    </row>
    <row r="79" spans="1:7" x14ac:dyDescent="0.35">
      <c r="A79" t="str">
        <f>LOWER(Table1[[#This Row],[position]]) &amp; "_" &amp; TEXT(DATE(Table1[[#This Row],[season]], 1, 1), "yyyy") &amp; "_" &amp; LOWER(_xlfn.TEXTAFTER(Table1[[#This Row],[player_name]], " ", -1))</f>
        <v>wr_2018_ridley</v>
      </c>
      <c r="B79" s="1" t="s">
        <v>103</v>
      </c>
      <c r="C79">
        <v>2018</v>
      </c>
      <c r="D79" s="1" t="s">
        <v>28</v>
      </c>
      <c r="E79">
        <v>218.1</v>
      </c>
      <c r="F79">
        <v>18</v>
      </c>
      <c r="G79">
        <v>1</v>
      </c>
    </row>
    <row r="80" spans="1:7" x14ac:dyDescent="0.35">
      <c r="A80" t="str">
        <f>LOWER(Table1[[#This Row],[position]]) &amp; "_" &amp; TEXT(DATE(Table1[[#This Row],[season]], 1, 1), "yyyy") &amp; "_" &amp; LOWER(_xlfn.TEXTAFTER(Table1[[#This Row],[player_name]], " ", -1))</f>
        <v>rb_2018_penny</v>
      </c>
      <c r="B80" s="1" t="s">
        <v>104</v>
      </c>
      <c r="C80">
        <v>2018</v>
      </c>
      <c r="D80" s="1" t="s">
        <v>29</v>
      </c>
      <c r="E80">
        <v>92.7</v>
      </c>
      <c r="F80">
        <v>47</v>
      </c>
      <c r="G80">
        <v>0</v>
      </c>
    </row>
    <row r="81" spans="1:7" x14ac:dyDescent="0.35">
      <c r="A81" t="str">
        <f>LOWER(Table1[[#This Row],[position]]) &amp; "_" &amp; TEXT(DATE(Table1[[#This Row],[season]], 1, 1), "yyyy") &amp; "_" &amp; LOWER(_xlfn.TEXTAFTER(Table1[[#This Row],[player_name]], " ", -1))</f>
        <v>rb_2018_michel</v>
      </c>
      <c r="B81" s="1" t="s">
        <v>105</v>
      </c>
      <c r="C81">
        <v>2018</v>
      </c>
      <c r="D81" s="1" t="s">
        <v>29</v>
      </c>
      <c r="E81">
        <v>209.1</v>
      </c>
      <c r="F81">
        <v>19</v>
      </c>
      <c r="G81">
        <v>1</v>
      </c>
    </row>
    <row r="82" spans="1:7" x14ac:dyDescent="0.35">
      <c r="A82" t="str">
        <f>LOWER(Table1[[#This Row],[position]]) &amp; "_" &amp; TEXT(DATE(Table1[[#This Row],[season]], 1, 1), "yyyy") &amp; "_" &amp; LOWER(_xlfn.TEXTAFTER(Table1[[#This Row],[player_name]], " ", -1))</f>
        <v>qb_2018_jackson</v>
      </c>
      <c r="B82" s="1" t="s">
        <v>106</v>
      </c>
      <c r="C82">
        <v>2018</v>
      </c>
      <c r="D82" s="1" t="s">
        <v>27</v>
      </c>
      <c r="E82">
        <v>166.1</v>
      </c>
      <c r="F82">
        <v>29</v>
      </c>
      <c r="G82">
        <v>0</v>
      </c>
    </row>
    <row r="83" spans="1:7" x14ac:dyDescent="0.35">
      <c r="A83" t="str">
        <f>LOWER(Table1[[#This Row],[position]]) &amp; "_" &amp; TEXT(DATE(Table1[[#This Row],[season]], 1, 1), "yyyy") &amp; "_" &amp; LOWER(_xlfn.TEXTAFTER(Table1[[#This Row],[player_name]], " ", -1))</f>
        <v>qb_2019_murray</v>
      </c>
      <c r="B83" s="1" t="s">
        <v>120</v>
      </c>
      <c r="C83">
        <v>2019</v>
      </c>
      <c r="D83" s="1" t="s">
        <v>27</v>
      </c>
      <c r="E83">
        <v>335.3</v>
      </c>
      <c r="F83">
        <v>7</v>
      </c>
      <c r="G83">
        <v>1</v>
      </c>
    </row>
    <row r="84" spans="1:7" x14ac:dyDescent="0.35">
      <c r="A84" t="str">
        <f>LOWER(Table1[[#This Row],[position]]) &amp; "_" &amp; TEXT(DATE(Table1[[#This Row],[season]], 1, 1), "yyyy") &amp; "_" &amp; LOWER(_xlfn.TEXTAFTER(Table1[[#This Row],[player_name]], " ", -1))</f>
        <v>qb_2019_jones</v>
      </c>
      <c r="B84" s="1" t="s">
        <v>121</v>
      </c>
      <c r="C84">
        <v>2019</v>
      </c>
      <c r="D84" s="1" t="s">
        <v>27</v>
      </c>
      <c r="E84">
        <v>298.10000000000002</v>
      </c>
      <c r="F84">
        <v>15</v>
      </c>
      <c r="G84">
        <v>0</v>
      </c>
    </row>
    <row r="85" spans="1:7" x14ac:dyDescent="0.35">
      <c r="A85" t="str">
        <f>LOWER(Table1[[#This Row],[position]]) &amp; "_" &amp; TEXT(DATE(Table1[[#This Row],[season]], 1, 1), "yyyy") &amp; "_" &amp; LOWER(_xlfn.TEXTAFTER(Table1[[#This Row],[player_name]], " ", -1))</f>
        <v>te_2019_hockenson</v>
      </c>
      <c r="B85" s="1" t="s">
        <v>122</v>
      </c>
      <c r="C85">
        <v>2019</v>
      </c>
      <c r="D85" s="1" t="s">
        <v>83</v>
      </c>
      <c r="E85">
        <v>131.69999999999999</v>
      </c>
      <c r="F85">
        <v>8</v>
      </c>
      <c r="G85">
        <v>1</v>
      </c>
    </row>
    <row r="86" spans="1:7" x14ac:dyDescent="0.35">
      <c r="A86" t="str">
        <f>LOWER(Table1[[#This Row],[position]]) &amp; "_" &amp; TEXT(DATE(Table1[[#This Row],[season]], 1, 1), "yyyy") &amp; "_" &amp; LOWER(_xlfn.TEXTAFTER(Table1[[#This Row],[player_name]], " ", -1))</f>
        <v>qb_2019_haskins</v>
      </c>
      <c r="B86" s="1" t="s">
        <v>123</v>
      </c>
      <c r="C86">
        <v>2019</v>
      </c>
      <c r="D86" s="1" t="s">
        <v>27</v>
      </c>
      <c r="E86">
        <v>93</v>
      </c>
      <c r="F86">
        <v>39</v>
      </c>
      <c r="G86">
        <v>0</v>
      </c>
    </row>
    <row r="87" spans="1:7" x14ac:dyDescent="0.35">
      <c r="A87" t="str">
        <f>LOWER(Table1[[#This Row],[position]]) &amp; "_" &amp; TEXT(DATE(Table1[[#This Row],[season]], 1, 1), "yyyy") &amp; "_" &amp; LOWER(_xlfn.TEXTAFTER(Table1[[#This Row],[player_name]], " ", -1))</f>
        <v>te_2019_fant</v>
      </c>
      <c r="B87" s="1" t="s">
        <v>124</v>
      </c>
      <c r="C87">
        <v>2019</v>
      </c>
      <c r="D87" s="1" t="s">
        <v>83</v>
      </c>
      <c r="E87">
        <v>149.19999999999999</v>
      </c>
      <c r="F87">
        <v>16</v>
      </c>
      <c r="G87">
        <v>0</v>
      </c>
    </row>
    <row r="88" spans="1:7" x14ac:dyDescent="0.35">
      <c r="A88" t="str">
        <f>LOWER(Table1[[#This Row],[position]]) &amp; "_" &amp; TEXT(DATE(Table1[[#This Row],[season]], 1, 1), "yyyy") &amp; "_" &amp; LOWER(_xlfn.TEXTAFTER(Table1[[#This Row],[player_name]], " ", -1))</f>
        <v>rb_2019_jacobs</v>
      </c>
      <c r="B88" s="1" t="s">
        <v>125</v>
      </c>
      <c r="C88">
        <v>2019</v>
      </c>
      <c r="D88" s="1" t="s">
        <v>29</v>
      </c>
      <c r="E88">
        <v>242.6</v>
      </c>
      <c r="F88">
        <v>14</v>
      </c>
      <c r="G88">
        <v>1</v>
      </c>
    </row>
    <row r="89" spans="1:7" x14ac:dyDescent="0.35">
      <c r="A89" t="str">
        <f>LOWER(Table1[[#This Row],[position]]) &amp; "_" &amp; TEXT(DATE(Table1[[#This Row],[season]], 1, 1), "yyyy") &amp; "_" &amp; LOWER(_xlfn.TEXTAFTER(Table1[[#This Row],[player_name]], " ", -1))</f>
        <v>wr_2019_brown</v>
      </c>
      <c r="B89" s="1" t="s">
        <v>126</v>
      </c>
      <c r="C89">
        <v>2019</v>
      </c>
      <c r="D89" s="1" t="s">
        <v>28</v>
      </c>
      <c r="E89">
        <v>170.4</v>
      </c>
      <c r="F89">
        <v>46</v>
      </c>
      <c r="G89">
        <v>0</v>
      </c>
    </row>
    <row r="90" spans="1:7" x14ac:dyDescent="0.35">
      <c r="A90" t="str">
        <f>LOWER(Table1[[#This Row],[position]]) &amp; "_" &amp; TEXT(DATE(Table1[[#This Row],[season]], 1, 1), "yyyy") &amp; "_" &amp; LOWER(_xlfn.TEXTAFTER(Table1[[#This Row],[player_name]], " ", -1))</f>
        <v>wr_2019_harry</v>
      </c>
      <c r="B90" s="1" t="s">
        <v>127</v>
      </c>
      <c r="C90">
        <v>2019</v>
      </c>
      <c r="D90" s="1" t="s">
        <v>28</v>
      </c>
      <c r="E90">
        <v>25.5</v>
      </c>
      <c r="F90">
        <v>171</v>
      </c>
      <c r="G90">
        <v>0</v>
      </c>
    </row>
    <row r="91" spans="1:7" x14ac:dyDescent="0.35">
      <c r="A91" t="str">
        <f>LOWER(Table1[[#This Row],[position]]) &amp; "_" &amp; TEXT(DATE(Table1[[#This Row],[season]], 1, 1), "yyyy") &amp; "_" &amp; LOWER(_xlfn.TEXTAFTER(Table1[[#This Row],[player_name]], " ", -1))</f>
        <v>qb_2020_burrow</v>
      </c>
      <c r="B91" s="1" t="s">
        <v>132</v>
      </c>
      <c r="C91">
        <v>2020</v>
      </c>
      <c r="D91" s="1" t="s">
        <v>27</v>
      </c>
      <c r="E91">
        <v>178.7</v>
      </c>
      <c r="F91">
        <v>25</v>
      </c>
      <c r="G91">
        <v>0</v>
      </c>
    </row>
    <row r="92" spans="1:7" x14ac:dyDescent="0.35">
      <c r="A92" t="str">
        <f>LOWER(Table1[[#This Row],[position]]) &amp; "_" &amp; TEXT(DATE(Table1[[#This Row],[season]], 1, 1), "yyyy") &amp; "_" &amp; LOWER(_xlfn.TEXTAFTER(Table1[[#This Row],[player_name]], " ", -1))</f>
        <v>qb_2020_tagovailoa</v>
      </c>
      <c r="B92" s="1" t="s">
        <v>133</v>
      </c>
      <c r="C92">
        <v>2020</v>
      </c>
      <c r="D92" s="1" t="s">
        <v>27</v>
      </c>
      <c r="E92">
        <v>153.30000000000001</v>
      </c>
      <c r="F92">
        <v>31</v>
      </c>
      <c r="G92">
        <v>0</v>
      </c>
    </row>
    <row r="93" spans="1:7" x14ac:dyDescent="0.35">
      <c r="A93" t="str">
        <f>LOWER(Table1[[#This Row],[position]]) &amp; "_" &amp; TEXT(DATE(Table1[[#This Row],[season]], 1, 1), "yyyy") &amp; "_" &amp; LOWER(_xlfn.TEXTAFTER(Table1[[#This Row],[player_name]], " ", -1))</f>
        <v>qb_2020_herbert</v>
      </c>
      <c r="B93" s="1" t="s">
        <v>134</v>
      </c>
      <c r="C93">
        <v>2020</v>
      </c>
      <c r="D93" s="1" t="s">
        <v>27</v>
      </c>
      <c r="E93">
        <v>395.1</v>
      </c>
      <c r="F93">
        <v>9</v>
      </c>
      <c r="G93">
        <v>1</v>
      </c>
    </row>
    <row r="94" spans="1:7" x14ac:dyDescent="0.35">
      <c r="A94" t="str">
        <f>LOWER(Table1[[#This Row],[position]]) &amp; "_" &amp; TEXT(DATE(Table1[[#This Row],[season]], 1, 1), "yyyy") &amp; "_" &amp; LOWER(_xlfn.TEXTAFTER(Table1[[#This Row],[player_name]], " ", -1))</f>
        <v>wr_2020_ruggs-iii</v>
      </c>
      <c r="B94" s="1" t="s">
        <v>143</v>
      </c>
      <c r="C94">
        <v>2020</v>
      </c>
      <c r="D94" s="1" t="s">
        <v>28</v>
      </c>
      <c r="E94">
        <v>86.2</v>
      </c>
      <c r="F94">
        <v>90</v>
      </c>
      <c r="G94">
        <v>0</v>
      </c>
    </row>
    <row r="95" spans="1:7" x14ac:dyDescent="0.35">
      <c r="A95" t="str">
        <f>LOWER(Table1[[#This Row],[position]]) &amp; "_" &amp; TEXT(DATE(Table1[[#This Row],[season]], 1, 1), "yyyy") &amp; "_" &amp; LOWER(_xlfn.TEXTAFTER(Table1[[#This Row],[player_name]], " ", -1))</f>
        <v>wr_2020_jeudy</v>
      </c>
      <c r="B95" s="1" t="s">
        <v>135</v>
      </c>
      <c r="C95">
        <v>2020</v>
      </c>
      <c r="D95" s="1" t="s">
        <v>28</v>
      </c>
      <c r="E95">
        <v>221.6</v>
      </c>
      <c r="F95">
        <v>21</v>
      </c>
      <c r="G95">
        <v>1</v>
      </c>
    </row>
    <row r="96" spans="1:7" x14ac:dyDescent="0.35">
      <c r="A96" t="str">
        <f>LOWER(Table1[[#This Row],[position]]) &amp; "_" &amp; TEXT(DATE(Table1[[#This Row],[season]], 1, 1), "yyyy") &amp; "_" &amp; LOWER(_xlfn.TEXTAFTER(Table1[[#This Row],[player_name]], " ", -1))</f>
        <v>wr_2020_lamb</v>
      </c>
      <c r="B96" s="1" t="s">
        <v>136</v>
      </c>
      <c r="C96">
        <v>2020</v>
      </c>
      <c r="D96" s="1" t="s">
        <v>28</v>
      </c>
      <c r="E96">
        <v>233.7</v>
      </c>
      <c r="F96">
        <v>18</v>
      </c>
      <c r="G96">
        <v>1</v>
      </c>
    </row>
    <row r="97" spans="1:7" x14ac:dyDescent="0.35">
      <c r="A97" t="str">
        <f>LOWER(Table1[[#This Row],[position]]) &amp; "_" &amp; TEXT(DATE(Table1[[#This Row],[season]], 1, 1), "yyyy") &amp; "_" &amp; LOWER(_xlfn.TEXTAFTER(Table1[[#This Row],[player_name]], " ", -1))</f>
        <v>wr_2020_reagor</v>
      </c>
      <c r="B97" s="1" t="s">
        <v>137</v>
      </c>
      <c r="C97">
        <v>2020</v>
      </c>
      <c r="D97" s="1" t="s">
        <v>28</v>
      </c>
      <c r="E97">
        <v>88.6</v>
      </c>
      <c r="F97">
        <v>89</v>
      </c>
      <c r="G97">
        <v>0</v>
      </c>
    </row>
    <row r="98" spans="1:7" x14ac:dyDescent="0.35">
      <c r="A98" t="str">
        <f>LOWER(Table1[[#This Row],[position]]) &amp; "_" &amp; TEXT(DATE(Table1[[#This Row],[season]], 1, 1), "yyyy") &amp; "_" &amp; LOWER(_xlfn.TEXTAFTER(Table1[[#This Row],[player_name]], " ", -1))</f>
        <v>wr_2020_jefferson</v>
      </c>
      <c r="B98" s="1" t="s">
        <v>138</v>
      </c>
      <c r="C98">
        <v>2020</v>
      </c>
      <c r="D98" s="1" t="s">
        <v>28</v>
      </c>
      <c r="E98">
        <v>274.2</v>
      </c>
      <c r="F98">
        <v>6</v>
      </c>
      <c r="G98">
        <v>1</v>
      </c>
    </row>
    <row r="99" spans="1:7" x14ac:dyDescent="0.35">
      <c r="A99" t="str">
        <f>LOWER(Table1[[#This Row],[position]]) &amp; "_" &amp; TEXT(DATE(Table1[[#This Row],[season]], 1, 1), "yyyy") &amp; "_" &amp; LOWER(_xlfn.TEXTAFTER(Table1[[#This Row],[player_name]], " ", -1))</f>
        <v>wr_2020_aiyuk</v>
      </c>
      <c r="B99" s="1" t="s">
        <v>139</v>
      </c>
      <c r="C99">
        <v>2020</v>
      </c>
      <c r="D99" s="1" t="s">
        <v>28</v>
      </c>
      <c r="E99">
        <v>214</v>
      </c>
      <c r="F99">
        <v>15</v>
      </c>
      <c r="G99">
        <v>1</v>
      </c>
    </row>
    <row r="100" spans="1:7" x14ac:dyDescent="0.35">
      <c r="A100" t="str">
        <f>LOWER(Table1[[#This Row],[position]]) &amp; "_" &amp; TEXT(DATE(Table1[[#This Row],[season]], 1, 1), "yyyy") &amp; "_" &amp; LOWER(_xlfn.TEXTAFTER(Table1[[#This Row],[player_name]], " ", -1))</f>
        <v>qb_2020_love</v>
      </c>
      <c r="B100" s="1" t="s">
        <v>140</v>
      </c>
      <c r="C100">
        <v>2020</v>
      </c>
      <c r="D100" s="1" t="s">
        <v>27</v>
      </c>
      <c r="E100">
        <v>0</v>
      </c>
      <c r="F100">
        <v>999</v>
      </c>
      <c r="G100">
        <v>0</v>
      </c>
    </row>
    <row r="101" spans="1:7" x14ac:dyDescent="0.35">
      <c r="A101" t="str">
        <f>LOWER(Table1[[#This Row],[position]]) &amp; "_" &amp; TEXT(DATE(Table1[[#This Row],[season]], 1, 1), "yyyy") &amp; "_" &amp; LOWER(_xlfn.TEXTAFTER(Table1[[#This Row],[player_name]], " ", -1))</f>
        <v>rb_2020_edwards-helaire</v>
      </c>
      <c r="B101" s="1" t="s">
        <v>141</v>
      </c>
      <c r="C101">
        <v>2020</v>
      </c>
      <c r="D101" s="1" t="s">
        <v>29</v>
      </c>
      <c r="E101">
        <v>181.8</v>
      </c>
      <c r="F101">
        <v>22</v>
      </c>
      <c r="G101">
        <v>1</v>
      </c>
    </row>
    <row r="102" spans="1:7" x14ac:dyDescent="0.35">
      <c r="A102" t="str">
        <f>LOWER(Table1[[#This Row],[position]]) &amp; "_" &amp; TEXT(DATE(Table1[[#This Row],[season]], 1, 1), "yyyy") &amp; "_" &amp; LOWER(_xlfn.TEXTAFTER(Table1[[#This Row],[player_name]], " ", -1))</f>
        <v>qb_2021_lawrence</v>
      </c>
      <c r="B102" s="1" t="s">
        <v>146</v>
      </c>
      <c r="C102">
        <v>2021</v>
      </c>
      <c r="D102" s="1" t="s">
        <v>27</v>
      </c>
      <c r="E102">
        <v>275.7</v>
      </c>
      <c r="F102">
        <v>16</v>
      </c>
      <c r="G102">
        <v>0</v>
      </c>
    </row>
    <row r="103" spans="1:7" x14ac:dyDescent="0.35">
      <c r="A103" t="str">
        <f>LOWER(Table1[[#This Row],[position]]) &amp; "_" &amp; TEXT(DATE(Table1[[#This Row],[season]], 1, 1), "yyyy") &amp; "_" &amp; LOWER(_xlfn.TEXTAFTER(Table1[[#This Row],[player_name]], " ", -1))</f>
        <v>qb_2021_wilson</v>
      </c>
      <c r="B103" s="1" t="s">
        <v>147</v>
      </c>
      <c r="C103">
        <v>2021</v>
      </c>
      <c r="D103" s="1" t="s">
        <v>27</v>
      </c>
      <c r="E103">
        <v>185.9</v>
      </c>
      <c r="F103">
        <v>30</v>
      </c>
      <c r="G103">
        <v>0</v>
      </c>
    </row>
    <row r="104" spans="1:7" x14ac:dyDescent="0.35">
      <c r="A104" t="str">
        <f>LOWER(Table1[[#This Row],[position]]) &amp; "_" &amp; TEXT(DATE(Table1[[#This Row],[season]], 1, 1), "yyyy") &amp; "_" &amp; LOWER(_xlfn.TEXTAFTER(Table1[[#This Row],[player_name]], " ", -1))</f>
        <v>qb_2021_lance</v>
      </c>
      <c r="B104" s="1" t="s">
        <v>148</v>
      </c>
      <c r="C104">
        <v>2021</v>
      </c>
      <c r="D104" s="1" t="s">
        <v>27</v>
      </c>
      <c r="E104">
        <v>69</v>
      </c>
      <c r="F104">
        <v>44</v>
      </c>
      <c r="G104">
        <v>0</v>
      </c>
    </row>
    <row r="105" spans="1:7" x14ac:dyDescent="0.35">
      <c r="A105" t="str">
        <f>LOWER(Table1[[#This Row],[position]]) &amp; "_" &amp; TEXT(DATE(Table1[[#This Row],[season]], 1, 1), "yyyy") &amp; "_" &amp; LOWER(_xlfn.TEXTAFTER(Table1[[#This Row],[player_name]], " ", -1))</f>
        <v>te_2021_pitts</v>
      </c>
      <c r="B105" s="1" t="s">
        <v>149</v>
      </c>
      <c r="C105">
        <v>2021</v>
      </c>
      <c r="D105" s="1" t="s">
        <v>83</v>
      </c>
      <c r="E105" s="2">
        <v>176.6</v>
      </c>
      <c r="F105">
        <v>6</v>
      </c>
      <c r="G105">
        <v>1</v>
      </c>
    </row>
    <row r="106" spans="1:7" x14ac:dyDescent="0.35">
      <c r="A106" t="str">
        <f>LOWER(Table1[[#This Row],[position]]) &amp; "_" &amp; TEXT(DATE(Table1[[#This Row],[season]], 1, 1), "yyyy") &amp; "_" &amp; LOWER(_xlfn.TEXTAFTER(Table1[[#This Row],[player_name]], " ", -1))</f>
        <v>wr_2021_chase</v>
      </c>
      <c r="B106" s="1" t="s">
        <v>150</v>
      </c>
      <c r="C106">
        <v>2021</v>
      </c>
      <c r="D106" s="1" t="s">
        <v>28</v>
      </c>
      <c r="E106">
        <v>304.60000000000002</v>
      </c>
      <c r="F106">
        <v>5</v>
      </c>
      <c r="G106">
        <v>1</v>
      </c>
    </row>
    <row r="107" spans="1:7" x14ac:dyDescent="0.35">
      <c r="A107" t="str">
        <f>LOWER(Table1[[#This Row],[position]]) &amp; "_" &amp; TEXT(DATE(Table1[[#This Row],[season]], 1, 1), "yyyy") &amp; "_" &amp; LOWER(_xlfn.TEXTAFTER(Table1[[#This Row],[player_name]], " ", -1))</f>
        <v>wr_2021_waddle</v>
      </c>
      <c r="B107" s="1" t="s">
        <v>151</v>
      </c>
      <c r="C107">
        <v>2021</v>
      </c>
      <c r="D107" s="1" t="s">
        <v>28</v>
      </c>
      <c r="E107">
        <v>245.8</v>
      </c>
      <c r="F107">
        <v>13</v>
      </c>
      <c r="G107">
        <v>1</v>
      </c>
    </row>
    <row r="108" spans="1:7" x14ac:dyDescent="0.35">
      <c r="A108" t="str">
        <f>LOWER(Table1[[#This Row],[position]]) &amp; "_" &amp; TEXT(DATE(Table1[[#This Row],[season]], 1, 1), "yyyy") &amp; "_" &amp; LOWER(_xlfn.TEXTAFTER(Table1[[#This Row],[player_name]], " ", -1))</f>
        <v>wr_2021_smith</v>
      </c>
      <c r="B108" s="1" t="s">
        <v>152</v>
      </c>
      <c r="C108">
        <v>2021</v>
      </c>
      <c r="D108" s="1" t="s">
        <v>28</v>
      </c>
      <c r="E108">
        <v>219.6</v>
      </c>
      <c r="F108">
        <v>29</v>
      </c>
      <c r="G108">
        <v>1</v>
      </c>
    </row>
    <row r="109" spans="1:7" x14ac:dyDescent="0.35">
      <c r="A109" t="str">
        <f>LOWER(Table1[[#This Row],[position]]) &amp; "_" &amp; TEXT(DATE(Table1[[#This Row],[season]], 1, 1), "yyyy") &amp; "_" &amp; LOWER(_xlfn.TEXTAFTER(Table1[[#This Row],[player_name]], " ", -1))</f>
        <v>qb_2021_fields</v>
      </c>
      <c r="B109" s="1" t="s">
        <v>153</v>
      </c>
      <c r="C109">
        <v>2021</v>
      </c>
      <c r="D109" s="1" t="s">
        <v>27</v>
      </c>
      <c r="E109">
        <v>159.4</v>
      </c>
      <c r="F109">
        <v>31</v>
      </c>
      <c r="G109">
        <v>0</v>
      </c>
    </row>
    <row r="110" spans="1:7" x14ac:dyDescent="0.35">
      <c r="A110" t="str">
        <f>LOWER(Table1[[#This Row],[position]]) &amp; "_" &amp; TEXT(DATE(Table1[[#This Row],[season]], 1, 1), "yyyy") &amp; "_" &amp; LOWER(_xlfn.TEXTAFTER(Table1[[#This Row],[player_name]], " ", -1))</f>
        <v>qb_2021_jones</v>
      </c>
      <c r="B110" s="1" t="s">
        <v>154</v>
      </c>
      <c r="C110">
        <v>2021</v>
      </c>
      <c r="D110" s="1" t="s">
        <v>27</v>
      </c>
      <c r="E110">
        <v>258.8</v>
      </c>
      <c r="F110">
        <v>18</v>
      </c>
      <c r="G110">
        <v>0</v>
      </c>
    </row>
    <row r="111" spans="1:7" x14ac:dyDescent="0.35">
      <c r="A111" t="str">
        <f>LOWER(Table1[[#This Row],[position]]) &amp; "_" &amp; TEXT(DATE(Table1[[#This Row],[season]], 1, 1), "yyyy") &amp; "_" &amp; LOWER(_xlfn.TEXTAFTER(Table1[[#This Row],[player_name]], " ", -1))</f>
        <v>wr_2021_toney</v>
      </c>
      <c r="B111" s="1" t="s">
        <v>155</v>
      </c>
      <c r="C111">
        <v>2021</v>
      </c>
      <c r="D111" s="1" t="s">
        <v>28</v>
      </c>
      <c r="E111">
        <v>94.9</v>
      </c>
      <c r="F111">
        <v>84</v>
      </c>
      <c r="G111">
        <v>0</v>
      </c>
    </row>
    <row r="112" spans="1:7" x14ac:dyDescent="0.35">
      <c r="A112" t="str">
        <f>LOWER(Table1[[#This Row],[position]]) &amp; "_" &amp; TEXT(DATE(Table1[[#This Row],[season]], 1, 1), "yyyy") &amp; "_" &amp; LOWER(_xlfn.TEXTAFTER(Table1[[#This Row],[player_name]], " ", -1))</f>
        <v>rb_2021_harris</v>
      </c>
      <c r="B112" s="1" t="s">
        <v>156</v>
      </c>
      <c r="C112">
        <v>2021</v>
      </c>
      <c r="D112" s="1" t="s">
        <v>29</v>
      </c>
      <c r="E112">
        <v>300.7</v>
      </c>
      <c r="F112">
        <v>3</v>
      </c>
      <c r="G112">
        <v>1</v>
      </c>
    </row>
    <row r="113" spans="1:7" x14ac:dyDescent="0.35">
      <c r="A113" t="str">
        <f>LOWER(Table1[[#This Row],[position]]) &amp; "_" &amp; TEXT(DATE(Table1[[#This Row],[season]], 1, 1), "yyyy") &amp; "_" &amp; LOWER(_xlfn.TEXTAFTER(Table1[[#This Row],[player_name]], " ", -1))</f>
        <v>rb_2021_etienne</v>
      </c>
      <c r="B113" s="1" t="s">
        <v>157</v>
      </c>
      <c r="C113">
        <v>2021</v>
      </c>
      <c r="D113" s="1" t="s">
        <v>29</v>
      </c>
      <c r="E113">
        <v>0</v>
      </c>
      <c r="F113">
        <v>999</v>
      </c>
      <c r="G113">
        <v>0</v>
      </c>
    </row>
    <row r="114" spans="1:7" x14ac:dyDescent="0.35">
      <c r="A114" t="str">
        <f>LOWER(Table1[[#This Row],[position]]) &amp; "_" &amp; TEXT(DATE(Table1[[#This Row],[season]], 1, 1), "yyyy") &amp; "_" &amp; LOWER(_xlfn.TEXTAFTER(Table1[[#This Row],[player_name]], " ", -1))</f>
        <v>wr_2021_bateman</v>
      </c>
      <c r="B114" s="1" t="s">
        <v>158</v>
      </c>
      <c r="C114">
        <v>2021</v>
      </c>
      <c r="D114" s="1" t="s">
        <v>28</v>
      </c>
      <c r="E114">
        <v>96.5</v>
      </c>
      <c r="F114">
        <v>82</v>
      </c>
      <c r="G114">
        <v>0</v>
      </c>
    </row>
    <row r="115" spans="1:7" x14ac:dyDescent="0.35">
      <c r="A115" t="str">
        <f>LOWER(Table1[[#This Row],[position]]) &amp; "_" &amp; TEXT(DATE(Table1[[#This Row],[season]], 1, 1), "yyyy") &amp; "_" &amp; LOWER(_xlfn.TEXTAFTER(Table1[[#This Row],[player_name]], " ", -1))</f>
        <v>wr_2022_london</v>
      </c>
      <c r="B115" s="1" t="s">
        <v>163</v>
      </c>
      <c r="C115">
        <v>2022</v>
      </c>
      <c r="D115" s="1" t="s">
        <v>28</v>
      </c>
      <c r="E115">
        <v>190.6</v>
      </c>
      <c r="F115">
        <v>31</v>
      </c>
      <c r="G115">
        <v>1</v>
      </c>
    </row>
    <row r="116" spans="1:7" x14ac:dyDescent="0.35">
      <c r="A116" t="str">
        <f>LOWER(Table1[[#This Row],[position]]) &amp; "_" &amp; TEXT(DATE(Table1[[#This Row],[season]], 1, 1), "yyyy") &amp; "_" &amp; LOWER(_xlfn.TEXTAFTER(Table1[[#This Row],[player_name]], " ", -1))</f>
        <v>wr_2022_wilson</v>
      </c>
      <c r="B116" s="1" t="s">
        <v>164</v>
      </c>
      <c r="C116">
        <v>2022</v>
      </c>
      <c r="D116" s="1" t="s">
        <v>28</v>
      </c>
      <c r="E116">
        <v>227.1</v>
      </c>
      <c r="F116">
        <v>21</v>
      </c>
      <c r="G116">
        <v>1</v>
      </c>
    </row>
    <row r="117" spans="1:7" x14ac:dyDescent="0.35">
      <c r="A117" t="str">
        <f>LOWER(Table1[[#This Row],[position]]) &amp; "_" &amp; TEXT(DATE(Table1[[#This Row],[season]], 1, 1), "yyyy") &amp; "_" &amp; LOWER(_xlfn.TEXTAFTER(Table1[[#This Row],[player_name]], " ", -1))</f>
        <v>wr_2022_olave</v>
      </c>
      <c r="B117" s="1" t="s">
        <v>165</v>
      </c>
      <c r="C117">
        <v>2022</v>
      </c>
      <c r="D117" s="1" t="s">
        <v>28</v>
      </c>
      <c r="E117">
        <v>234.2</v>
      </c>
      <c r="F117">
        <v>19</v>
      </c>
      <c r="G117">
        <v>1</v>
      </c>
    </row>
    <row r="118" spans="1:7" x14ac:dyDescent="0.35">
      <c r="A118" t="str">
        <f>LOWER(Table1[[#This Row],[position]]) &amp; "_" &amp; TEXT(DATE(Table1[[#This Row],[season]], 1, 1), "yyyy") &amp; "_" &amp; LOWER(_xlfn.TEXTAFTER(Table1[[#This Row],[player_name]], " ", -1))</f>
        <v>wr_2022_williams</v>
      </c>
      <c r="B118" s="1" t="s">
        <v>166</v>
      </c>
      <c r="C118">
        <v>2022</v>
      </c>
      <c r="D118" s="1" t="s">
        <v>28</v>
      </c>
      <c r="E118">
        <v>15.3</v>
      </c>
      <c r="F118">
        <v>156</v>
      </c>
      <c r="G118">
        <v>0</v>
      </c>
    </row>
    <row r="119" spans="1:7" x14ac:dyDescent="0.35">
      <c r="A119" t="str">
        <f>LOWER(Table1[[#This Row],[position]]) &amp; "_" &amp; TEXT(DATE(Table1[[#This Row],[season]], 1, 1), "yyyy") &amp; "_" &amp; LOWER(_xlfn.TEXTAFTER(Table1[[#This Row],[player_name]], " ", -1))</f>
        <v>wr_2022_dotson</v>
      </c>
      <c r="B119" s="1" t="s">
        <v>167</v>
      </c>
      <c r="C119">
        <v>2022</v>
      </c>
      <c r="D119" s="1" t="s">
        <v>28</v>
      </c>
      <c r="E119">
        <v>147.30000000000001</v>
      </c>
      <c r="F119">
        <v>47</v>
      </c>
      <c r="G119">
        <v>0</v>
      </c>
    </row>
    <row r="120" spans="1:7" x14ac:dyDescent="0.35">
      <c r="A120" t="str">
        <f>LOWER(Table1[[#This Row],[position]]) &amp; "_" &amp; TEXT(DATE(Table1[[#This Row],[season]], 1, 1), "yyyy") &amp; "_" &amp; LOWER(_xlfn.TEXTAFTER(Table1[[#This Row],[player_name]], " ", -1))</f>
        <v>wr_2022_burks</v>
      </c>
      <c r="B120" s="1" t="s">
        <v>168</v>
      </c>
      <c r="C120">
        <v>2022</v>
      </c>
      <c r="D120" s="1" t="s">
        <v>28</v>
      </c>
      <c r="E120">
        <v>108.4</v>
      </c>
      <c r="F120">
        <v>65</v>
      </c>
      <c r="G120">
        <v>0</v>
      </c>
    </row>
    <row r="121" spans="1:7" x14ac:dyDescent="0.35">
      <c r="A121" t="str">
        <f>LOWER(Table1[[#This Row],[position]]) &amp; "_" &amp; TEXT(DATE(Table1[[#This Row],[season]], 1, 1), "yyyy") &amp; "_" &amp; LOWER(_xlfn.TEXTAFTER(Table1[[#This Row],[player_name]], " ", -1))</f>
        <v>qb_2022_pickett</v>
      </c>
      <c r="B121" s="1" t="s">
        <v>169</v>
      </c>
      <c r="C121">
        <v>2022</v>
      </c>
      <c r="D121" s="1" t="s">
        <v>27</v>
      </c>
      <c r="E121">
        <v>183</v>
      </c>
      <c r="F121">
        <v>24</v>
      </c>
      <c r="G121">
        <v>0</v>
      </c>
    </row>
    <row r="122" spans="1:7" x14ac:dyDescent="0.35">
      <c r="A122" t="str">
        <f>LOWER(Table1[[#This Row],[position]]) &amp; "_" &amp; TEXT(DATE(Table1[[#This Row],[season]], 1, 1), "yyyy") &amp; "_" &amp; LOWER(_xlfn.TEXTAFTER(Table1[[#This Row],[player_name]], " ", -1))</f>
        <v>qb_2023_young</v>
      </c>
      <c r="B122" s="1" t="s">
        <v>173</v>
      </c>
      <c r="C122">
        <v>2023</v>
      </c>
      <c r="D122" s="1" t="s">
        <v>27</v>
      </c>
      <c r="E122">
        <v>200.3</v>
      </c>
      <c r="F122">
        <v>23</v>
      </c>
      <c r="G122">
        <v>0</v>
      </c>
    </row>
    <row r="123" spans="1:7" x14ac:dyDescent="0.35">
      <c r="A123" t="str">
        <f>LOWER(Table1[[#This Row],[position]]) &amp; "_" &amp; TEXT(DATE(Table1[[#This Row],[season]], 1, 1), "yyyy") &amp; "_" &amp; LOWER(_xlfn.TEXTAFTER(Table1[[#This Row],[player_name]], " ", -1))</f>
        <v>qb_2023_stroud</v>
      </c>
      <c r="B123" s="1" t="s">
        <v>174</v>
      </c>
      <c r="C123">
        <v>2023</v>
      </c>
      <c r="D123" s="1" t="s">
        <v>27</v>
      </c>
      <c r="E123">
        <v>328</v>
      </c>
      <c r="F123">
        <v>11</v>
      </c>
      <c r="G123">
        <v>1</v>
      </c>
    </row>
    <row r="124" spans="1:7" x14ac:dyDescent="0.35">
      <c r="A124" t="str">
        <f>LOWER(Table1[[#This Row],[position]]) &amp; "_" &amp; TEXT(DATE(Table1[[#This Row],[season]], 1, 1), "yyyy") &amp; "_" &amp; LOWER(_xlfn.TEXTAFTER(Table1[[#This Row],[player_name]], " ", -1))</f>
        <v>qb_2023_richardson</v>
      </c>
      <c r="B124" s="1" t="s">
        <v>175</v>
      </c>
      <c r="C124">
        <v>2023</v>
      </c>
      <c r="D124" s="1" t="s">
        <v>27</v>
      </c>
      <c r="E124">
        <v>135</v>
      </c>
      <c r="F124">
        <v>33</v>
      </c>
      <c r="G124">
        <v>0</v>
      </c>
    </row>
    <row r="125" spans="1:7" x14ac:dyDescent="0.35">
      <c r="A125" t="str">
        <f>LOWER(Table1[[#This Row],[position]]) &amp; "_" &amp; TEXT(DATE(Table1[[#This Row],[season]], 1, 1), "yyyy") &amp; "_" &amp; LOWER(_xlfn.TEXTAFTER(Table1[[#This Row],[player_name]], " ", -1))</f>
        <v>rb_2023_robinson</v>
      </c>
      <c r="B125" s="1" t="s">
        <v>176</v>
      </c>
      <c r="C125">
        <v>2023</v>
      </c>
      <c r="D125" s="1" t="s">
        <v>29</v>
      </c>
      <c r="E125">
        <v>272.89999999999998</v>
      </c>
      <c r="F125">
        <v>9</v>
      </c>
      <c r="G125">
        <v>1</v>
      </c>
    </row>
    <row r="126" spans="1:7" x14ac:dyDescent="0.35">
      <c r="A126" t="str">
        <f>LOWER(Table1[[#This Row],[position]]) &amp; "_" &amp; TEXT(DATE(Table1[[#This Row],[season]], 1, 1), "yyyy") &amp; "_" &amp; LOWER(_xlfn.TEXTAFTER(Table1[[#This Row],[player_name]], " ", -1))</f>
        <v>rb_2023_gibbs</v>
      </c>
      <c r="B126" s="1" t="s">
        <v>177</v>
      </c>
      <c r="C126">
        <v>2023</v>
      </c>
      <c r="D126" s="1" t="s">
        <v>29</v>
      </c>
      <c r="E126">
        <v>271.89999999999998</v>
      </c>
      <c r="F126">
        <v>10</v>
      </c>
      <c r="G126">
        <v>1</v>
      </c>
    </row>
    <row r="127" spans="1:7" x14ac:dyDescent="0.35">
      <c r="A127" t="str">
        <f>LOWER(Table1[[#This Row],[position]]) &amp; "_" &amp; TEXT(DATE(Table1[[#This Row],[season]], 1, 1), "yyyy") &amp; "_" &amp; LOWER(_xlfn.TEXTAFTER(Table1[[#This Row],[player_name]], " ", -1))</f>
        <v>wr_2023_smith-njigba</v>
      </c>
      <c r="B127" s="1" t="s">
        <v>178</v>
      </c>
      <c r="C127">
        <v>2023</v>
      </c>
      <c r="D127" s="1" t="s">
        <v>28</v>
      </c>
      <c r="E127">
        <v>147.80000000000001</v>
      </c>
      <c r="F127">
        <v>49</v>
      </c>
      <c r="G127">
        <v>0</v>
      </c>
    </row>
    <row r="128" spans="1:7" x14ac:dyDescent="0.35">
      <c r="A128" t="str">
        <f>LOWER(Table1[[#This Row],[position]]) &amp; "_" &amp; TEXT(DATE(Table1[[#This Row],[season]], 1, 1), "yyyy") &amp; "_" &amp; LOWER(_xlfn.TEXTAFTER(Table1[[#This Row],[player_name]], " ", -1))</f>
        <v>wr_2023_johnston</v>
      </c>
      <c r="B128" s="1" t="s">
        <v>179</v>
      </c>
      <c r="C128">
        <v>2023</v>
      </c>
      <c r="D128" s="1" t="s">
        <v>28</v>
      </c>
      <c r="E128">
        <v>88.1</v>
      </c>
      <c r="F128">
        <v>68</v>
      </c>
      <c r="G128">
        <v>0</v>
      </c>
    </row>
    <row r="129" spans="1:7" x14ac:dyDescent="0.35">
      <c r="A129" t="str">
        <f>LOWER(Table1[[#This Row],[position]]) &amp; "_" &amp; TEXT(DATE(Table1[[#This Row],[season]], 1, 1), "yyyy") &amp; "_" &amp; LOWER(_xlfn.TEXTAFTER(Table1[[#This Row],[player_name]], " ", -1))</f>
        <v>wr_2023_flowers</v>
      </c>
      <c r="B129" s="1" t="s">
        <v>180</v>
      </c>
      <c r="C129">
        <v>2023</v>
      </c>
      <c r="D129" s="1" t="s">
        <v>28</v>
      </c>
      <c r="E129">
        <v>216.8</v>
      </c>
      <c r="F129">
        <v>30</v>
      </c>
      <c r="G129">
        <v>1</v>
      </c>
    </row>
    <row r="130" spans="1:7" x14ac:dyDescent="0.35">
      <c r="A130" t="str">
        <f>LOWER(Table1[[#This Row],[position]]) &amp; "_" &amp; TEXT(DATE(Table1[[#This Row],[season]], 1, 1), "yyyy") &amp; "_" &amp; LOWER(_xlfn.TEXTAFTER(Table1[[#This Row],[player_name]], " ", -1))</f>
        <v>wr_2023_addison</v>
      </c>
      <c r="B130" s="1" t="s">
        <v>181</v>
      </c>
      <c r="C130">
        <v>2023</v>
      </c>
      <c r="D130" s="1" t="s">
        <v>28</v>
      </c>
      <c r="E130">
        <v>241.1</v>
      </c>
      <c r="F130">
        <v>23</v>
      </c>
      <c r="G130">
        <v>1</v>
      </c>
    </row>
    <row r="131" spans="1:7" x14ac:dyDescent="0.35">
      <c r="A131" t="str">
        <f>LOWER(Table1[[#This Row],[position]]) &amp; "_" &amp; TEXT(DATE(Table1[[#This Row],[season]], 1, 1), "yyyy") &amp; "_" &amp; LOWER(_xlfn.TEXTAFTER(Table1[[#This Row],[player_name]], " ", -1))</f>
        <v>te_2023_kincaid</v>
      </c>
      <c r="B131" s="1" t="s">
        <v>182</v>
      </c>
      <c r="C131">
        <v>2023</v>
      </c>
      <c r="D131" s="1" t="s">
        <v>83</v>
      </c>
      <c r="E131">
        <v>157.30000000000001</v>
      </c>
      <c r="F131">
        <v>11</v>
      </c>
      <c r="G131">
        <v>1</v>
      </c>
    </row>
    <row r="132" spans="1:7" x14ac:dyDescent="0.35">
      <c r="A132" t="str">
        <f>LOWER(Table1[[#This Row],[position]]) &amp; "_" &amp; TEXT(DATE(Table1[[#This Row],[season]], 1, 1), "yyyy") &amp; "_" &amp; LOWER(_xlfn.TEXTAFTER(Table1[[#This Row],[player_name]], " ", -1))</f>
        <v>qb_2024_williams</v>
      </c>
      <c r="B132" s="1" t="s">
        <v>186</v>
      </c>
      <c r="C132">
        <v>2024</v>
      </c>
      <c r="D132" s="1" t="s">
        <v>27</v>
      </c>
      <c r="E132">
        <v>285.39999999999998</v>
      </c>
      <c r="F132">
        <v>17</v>
      </c>
      <c r="G132">
        <v>0</v>
      </c>
    </row>
    <row r="133" spans="1:7" x14ac:dyDescent="0.35">
      <c r="A133" t="str">
        <f>LOWER(Table1[[#This Row],[position]]) &amp; "_" &amp; TEXT(DATE(Table1[[#This Row],[season]], 1, 1), "yyyy") &amp; "_" &amp; LOWER(_xlfn.TEXTAFTER(Table1[[#This Row],[player_name]], " ", -1))</f>
        <v>qb_2024_daniels</v>
      </c>
      <c r="B133" s="1" t="s">
        <v>187</v>
      </c>
      <c r="C133">
        <v>2024</v>
      </c>
      <c r="D133" s="1" t="s">
        <v>27</v>
      </c>
      <c r="E133">
        <v>392.7</v>
      </c>
      <c r="F133">
        <v>5</v>
      </c>
      <c r="G133">
        <v>1</v>
      </c>
    </row>
    <row r="134" spans="1:7" x14ac:dyDescent="0.35">
      <c r="A134" t="str">
        <f>LOWER(Table1[[#This Row],[position]]) &amp; "_" &amp; TEXT(DATE(Table1[[#This Row],[season]], 1, 1), "yyyy") &amp; "_" &amp; LOWER(_xlfn.TEXTAFTER(Table1[[#This Row],[player_name]], " ", -1))</f>
        <v>qb_2024_maye</v>
      </c>
      <c r="B134" s="1" t="s">
        <v>188</v>
      </c>
      <c r="C134">
        <v>2024</v>
      </c>
      <c r="D134" s="1" t="s">
        <v>27</v>
      </c>
      <c r="E134">
        <v>198.3</v>
      </c>
      <c r="F134">
        <v>27</v>
      </c>
      <c r="G134">
        <v>0</v>
      </c>
    </row>
    <row r="135" spans="1:7" x14ac:dyDescent="0.35">
      <c r="A135" t="str">
        <f>LOWER(Table1[[#This Row],[position]]) &amp; "_" &amp; TEXT(DATE(Table1[[#This Row],[season]], 1, 1), "yyyy") &amp; "_" &amp; LOWER(_xlfn.TEXTAFTER(Table1[[#This Row],[player_name]], " ", -1))</f>
        <v>wr_2024_harrison-jr.</v>
      </c>
      <c r="B135" s="1" t="s">
        <v>213</v>
      </c>
      <c r="C135">
        <v>2024</v>
      </c>
      <c r="D135" s="1" t="s">
        <v>28</v>
      </c>
      <c r="E135">
        <v>246.8</v>
      </c>
      <c r="F135">
        <v>20</v>
      </c>
      <c r="G135">
        <v>1</v>
      </c>
    </row>
    <row r="136" spans="1:7" x14ac:dyDescent="0.35">
      <c r="A136" t="str">
        <f>LOWER(Table1[[#This Row],[position]]) &amp; "_" &amp; TEXT(DATE(Table1[[#This Row],[season]], 1, 1), "yyyy") &amp; "_" &amp; LOWER(_xlfn.TEXTAFTER(Table1[[#This Row],[player_name]], " ", -1))</f>
        <v>wr_2024_nabers</v>
      </c>
      <c r="B136" s="1" t="s">
        <v>189</v>
      </c>
      <c r="C136">
        <v>2024</v>
      </c>
      <c r="D136" s="1" t="s">
        <v>28</v>
      </c>
      <c r="E136">
        <v>301.2</v>
      </c>
      <c r="F136">
        <v>8</v>
      </c>
      <c r="G136">
        <v>1</v>
      </c>
    </row>
    <row r="137" spans="1:7" x14ac:dyDescent="0.35">
      <c r="A137" t="str">
        <f>LOWER(Table1[[#This Row],[position]]) &amp; "_" &amp; TEXT(DATE(Table1[[#This Row],[season]], 1, 1), "yyyy") &amp; "_" &amp; LOWER(_xlfn.TEXTAFTER(Table1[[#This Row],[player_name]], " ", -1))</f>
        <v>qb_2024_penix</v>
      </c>
      <c r="B137" s="1" t="s">
        <v>190</v>
      </c>
      <c r="C137">
        <v>2024</v>
      </c>
      <c r="D137" s="1" t="s">
        <v>27</v>
      </c>
      <c r="E137">
        <v>21.7</v>
      </c>
      <c r="F137">
        <v>52</v>
      </c>
      <c r="G137">
        <v>0</v>
      </c>
    </row>
    <row r="138" spans="1:7" x14ac:dyDescent="0.35">
      <c r="A138" t="str">
        <f>LOWER(Table1[[#This Row],[position]]) &amp; "_" &amp; TEXT(DATE(Table1[[#This Row],[season]], 1, 1), "yyyy") &amp; "_" &amp; LOWER(_xlfn.TEXTAFTER(Table1[[#This Row],[player_name]], " ", -1))</f>
        <v>wr_2024_odunze</v>
      </c>
      <c r="B138" s="1" t="s">
        <v>191</v>
      </c>
      <c r="C138">
        <v>2024</v>
      </c>
      <c r="D138" s="1" t="s">
        <v>28</v>
      </c>
      <c r="E138">
        <v>181.6</v>
      </c>
      <c r="F138">
        <v>39</v>
      </c>
      <c r="G138">
        <v>0</v>
      </c>
    </row>
    <row r="139" spans="1:7" x14ac:dyDescent="0.35">
      <c r="A139" t="str">
        <f>LOWER(Table1[[#This Row],[position]]) &amp; "_" &amp; TEXT(DATE(Table1[[#This Row],[season]], 1, 1), "yyyy") &amp; "_" &amp; LOWER(_xlfn.TEXTAFTER(Table1[[#This Row],[player_name]], " ", -1))</f>
        <v>qb_2024_mccarthy</v>
      </c>
      <c r="B139" s="1" t="s">
        <v>192</v>
      </c>
      <c r="C139">
        <v>2024</v>
      </c>
      <c r="D139" s="1" t="s">
        <v>27</v>
      </c>
      <c r="E139">
        <v>0</v>
      </c>
      <c r="F139">
        <v>999</v>
      </c>
      <c r="G139">
        <v>0</v>
      </c>
    </row>
    <row r="140" spans="1:7" x14ac:dyDescent="0.35">
      <c r="A140" t="str">
        <f>LOWER(Table1[[#This Row],[position]]) &amp; "_" &amp; TEXT(DATE(Table1[[#This Row],[season]], 1, 1), "yyyy") &amp; "_" &amp; LOWER(_xlfn.TEXTAFTER(Table1[[#This Row],[player_name]], " ", -1))</f>
        <v>qb_2024_nix</v>
      </c>
      <c r="B140" s="1" t="s">
        <v>193</v>
      </c>
      <c r="C140">
        <v>2024</v>
      </c>
      <c r="D140" s="1" t="s">
        <v>27</v>
      </c>
      <c r="E140">
        <v>318.5</v>
      </c>
      <c r="F140">
        <v>12</v>
      </c>
      <c r="G140">
        <v>1</v>
      </c>
    </row>
    <row r="141" spans="1:7" x14ac:dyDescent="0.35">
      <c r="A141" t="str">
        <f>LOWER(Table1[[#This Row],[position]]) &amp; "_" &amp; TEXT(DATE(Table1[[#This Row],[season]], 1, 1), "yyyy") &amp; "_" &amp; LOWER(_xlfn.TEXTAFTER(Table1[[#This Row],[player_name]], " ", -1))</f>
        <v>te_2024_bowers</v>
      </c>
      <c r="B141" s="1" t="s">
        <v>194</v>
      </c>
      <c r="C141">
        <v>2024</v>
      </c>
      <c r="D141" s="1" t="s">
        <v>83</v>
      </c>
      <c r="E141">
        <v>242.4</v>
      </c>
      <c r="F141">
        <v>1</v>
      </c>
      <c r="G141">
        <v>1</v>
      </c>
    </row>
    <row r="142" spans="1:7" x14ac:dyDescent="0.35">
      <c r="A142" t="str">
        <f>LOWER(Table1[[#This Row],[position]]) &amp; "_" &amp; TEXT(DATE(Table1[[#This Row],[season]], 1, 1), "yyyy") &amp; "_" &amp; LOWER(_xlfn.TEXTAFTER(Table1[[#This Row],[player_name]], " ", -1))</f>
        <v>wr_2024_thomas</v>
      </c>
      <c r="B142" s="1" t="s">
        <v>195</v>
      </c>
      <c r="C142">
        <v>2024</v>
      </c>
      <c r="D142" s="1" t="s">
        <v>28</v>
      </c>
      <c r="E142">
        <v>287.89999999999998</v>
      </c>
      <c r="F142">
        <v>10</v>
      </c>
      <c r="G142">
        <v>1</v>
      </c>
    </row>
    <row r="143" spans="1:7" x14ac:dyDescent="0.35">
      <c r="A143" t="str">
        <f>LOWER(Table1[[#This Row],[position]]) &amp; "_" &amp; TEXT(DATE(Table1[[#This Row],[season]], 1, 1), "yyyy") &amp; "_" &amp; LOWER(_xlfn.TEXTAFTER(Table1[[#This Row],[player_name]], " ", -1))</f>
        <v>wr_2024_worthy</v>
      </c>
      <c r="B143" s="1" t="s">
        <v>196</v>
      </c>
      <c r="C143">
        <v>2024</v>
      </c>
      <c r="D143" s="1" t="s">
        <v>28</v>
      </c>
      <c r="E143">
        <v>224.1</v>
      </c>
      <c r="F143">
        <v>24</v>
      </c>
      <c r="G143">
        <v>1</v>
      </c>
    </row>
    <row r="144" spans="1:7" x14ac:dyDescent="0.35">
      <c r="A144" t="str">
        <f>LOWER(Table1[[#This Row],[position]]) &amp; "_" &amp; TEXT(DATE(Table1[[#This Row],[season]], 1, 1), "yyyy") &amp; "_" &amp; LOWER(_xlfn.TEXTAFTER(Table1[[#This Row],[player_name]], " ", -1))</f>
        <v>wr_2024_pearsall</v>
      </c>
      <c r="B144" s="1" t="s">
        <v>197</v>
      </c>
      <c r="C144">
        <v>2024</v>
      </c>
      <c r="D144" s="1" t="s">
        <v>28</v>
      </c>
      <c r="E144">
        <v>126.2</v>
      </c>
      <c r="F144">
        <v>58</v>
      </c>
      <c r="G144">
        <v>0</v>
      </c>
    </row>
    <row r="145" spans="1:7" x14ac:dyDescent="0.35">
      <c r="A145" t="str">
        <f>LOWER(Table1[[#This Row],[position]]) &amp; "_" &amp; TEXT(DATE(Table1[[#This Row],[season]], 1, 1), "yyyy") &amp; "_" &amp; LOWER(_xlfn.TEXTAFTER(Table1[[#This Row],[player_name]], " ", -1))</f>
        <v>wr_2024_legette</v>
      </c>
      <c r="B145" s="1" t="s">
        <v>198</v>
      </c>
      <c r="C145">
        <v>2024</v>
      </c>
      <c r="D145" s="1" t="s">
        <v>28</v>
      </c>
      <c r="E145">
        <v>141.5</v>
      </c>
      <c r="F145">
        <v>49</v>
      </c>
      <c r="G145">
        <v>0</v>
      </c>
    </row>
    <row r="146" spans="1:7" x14ac:dyDescent="0.35">
      <c r="A146" t="str">
        <f>LOWER(Table1[[#This Row],[position]]) &amp; "_" &amp; TEXT(DATE(Table1[[#This Row],[season]], 1, 1), "yyyy") &amp; "_" &amp; LOWER(_xlfn.TEXTAFTER(Table1[[#This Row],[player_name]], " ", -1))</f>
        <v>qb_2025_ward</v>
      </c>
      <c r="B146" s="1" t="s">
        <v>200</v>
      </c>
      <c r="C146">
        <v>2025</v>
      </c>
      <c r="D146" s="1" t="s">
        <v>27</v>
      </c>
      <c r="E146">
        <v>186.6</v>
      </c>
      <c r="F146">
        <v>22</v>
      </c>
      <c r="G146">
        <v>0</v>
      </c>
    </row>
    <row r="147" spans="1:7" x14ac:dyDescent="0.35">
      <c r="A147" t="str">
        <f>LOWER(Table1[[#This Row],[position]]) &amp; "_" &amp; TEXT(DATE(Table1[[#This Row],[season]], 1, 1), "yyyy") &amp; "_" &amp; LOWER(_xlfn.TEXTAFTER(Table1[[#This Row],[player_name]], " ", -1))</f>
        <v>wr_2025_hunter</v>
      </c>
      <c r="B147" s="1" t="s">
        <v>201</v>
      </c>
      <c r="C147">
        <v>2025</v>
      </c>
      <c r="D147" s="1" t="s">
        <v>28</v>
      </c>
      <c r="E147">
        <v>63.8</v>
      </c>
      <c r="F147">
        <v>97</v>
      </c>
      <c r="G147">
        <v>0</v>
      </c>
    </row>
    <row r="148" spans="1:7" x14ac:dyDescent="0.35">
      <c r="A148" t="str">
        <f>LOWER(Table1[[#This Row],[position]]) &amp; "_" &amp; TEXT(DATE(Table1[[#This Row],[season]], 1, 1), "yyyy") &amp; "_" &amp; LOWER(_xlfn.TEXTAFTER(Table1[[#This Row],[player_name]], " ", -1))</f>
        <v>rb_2025_jeanty</v>
      </c>
      <c r="B148" s="1" t="s">
        <v>202</v>
      </c>
      <c r="C148">
        <v>2025</v>
      </c>
      <c r="D148" s="1" t="s">
        <v>29</v>
      </c>
      <c r="E148">
        <v>245.1</v>
      </c>
      <c r="F148">
        <v>11</v>
      </c>
      <c r="G148">
        <v>1</v>
      </c>
    </row>
    <row r="149" spans="1:7" x14ac:dyDescent="0.35">
      <c r="A149" t="str">
        <f>LOWER(Table1[[#This Row],[position]]) &amp; "_" &amp; TEXT(DATE(Table1[[#This Row],[season]], 1, 1), "yyyy") &amp; "_" &amp; LOWER(_xlfn.TEXTAFTER(Table1[[#This Row],[player_name]], " ", -1))</f>
        <v>wr_2025_mcmillan</v>
      </c>
      <c r="B149" s="1" t="s">
        <v>203</v>
      </c>
      <c r="C149">
        <v>2025</v>
      </c>
      <c r="D149" s="1" t="s">
        <v>28</v>
      </c>
      <c r="E149">
        <v>211.4</v>
      </c>
      <c r="F149">
        <v>16</v>
      </c>
      <c r="G149">
        <v>1</v>
      </c>
    </row>
    <row r="150" spans="1:7" x14ac:dyDescent="0.35">
      <c r="A150" t="str">
        <f>LOWER(Table1[[#This Row],[position]]) &amp; "_" &amp; TEXT(DATE(Table1[[#This Row],[season]], 1, 1), "yyyy") &amp; "_" &amp; LOWER(_xlfn.TEXTAFTER(Table1[[#This Row],[player_name]], " ", -1))</f>
        <v>te_2025_loveland</v>
      </c>
      <c r="B150" s="1" t="s">
        <v>204</v>
      </c>
      <c r="C150">
        <v>2025</v>
      </c>
      <c r="D150" s="1" t="s">
        <v>83</v>
      </c>
      <c r="E150">
        <v>165.1</v>
      </c>
      <c r="F150">
        <v>12</v>
      </c>
      <c r="G150">
        <v>1</v>
      </c>
    </row>
    <row r="151" spans="1:7" x14ac:dyDescent="0.35">
      <c r="A151" t="str">
        <f>LOWER(Table1[[#This Row],[position]]) &amp; "_" &amp; TEXT(DATE(Table1[[#This Row],[season]], 1, 1), "yyyy") &amp; "_" &amp; LOWER(_xlfn.TEXTAFTER(Table1[[#This Row],[player_name]], " ", -1))</f>
        <v>te_2025_warren</v>
      </c>
      <c r="B151" s="1" t="s">
        <v>205</v>
      </c>
      <c r="C151">
        <v>2025</v>
      </c>
      <c r="D151" s="1" t="s">
        <v>83</v>
      </c>
      <c r="E151">
        <v>188.5</v>
      </c>
      <c r="F151">
        <v>4</v>
      </c>
      <c r="G151">
        <v>1</v>
      </c>
    </row>
    <row r="152" spans="1:7" x14ac:dyDescent="0.35">
      <c r="A152" t="str">
        <f>LOWER(Table1[[#This Row],[position]]) &amp; "_" &amp; TEXT(DATE(Table1[[#This Row],[season]], 1, 1), "yyyy") &amp; "_" &amp; LOWER(_xlfn.TEXTAFTER(Table1[[#This Row],[player_name]], " ", -1))</f>
        <v>wr_2025_egbuka</v>
      </c>
      <c r="B152" s="1" t="s">
        <v>206</v>
      </c>
      <c r="C152">
        <v>2025</v>
      </c>
      <c r="D152" s="1" t="s">
        <v>28</v>
      </c>
      <c r="E152">
        <v>195.7</v>
      </c>
      <c r="F152">
        <v>23</v>
      </c>
      <c r="G152">
        <v>1</v>
      </c>
    </row>
    <row r="153" spans="1:7" x14ac:dyDescent="0.35">
      <c r="A153" t="str">
        <f>LOWER(Table1[[#This Row],[position]]) &amp; "_" &amp; TEXT(DATE(Table1[[#This Row],[season]], 1, 1), "yyyy") &amp; "_" &amp; LOWER(_xlfn.TEXTAFTER(Table1[[#This Row],[player_name]], " ", -1))</f>
        <v>rb_2025_hampton</v>
      </c>
      <c r="B153" s="1" t="s">
        <v>207</v>
      </c>
      <c r="C153">
        <v>2025</v>
      </c>
      <c r="D153" s="1" t="s">
        <v>29</v>
      </c>
      <c r="E153">
        <v>135.69999999999999</v>
      </c>
      <c r="F153">
        <v>35</v>
      </c>
      <c r="G153">
        <v>0</v>
      </c>
    </row>
    <row r="154" spans="1:7" x14ac:dyDescent="0.35">
      <c r="A154" t="str">
        <f>LOWER(Table1[[#This Row],[position]]) &amp; "_" &amp; TEXT(DATE(Table1[[#This Row],[season]], 1, 1), "yyyy") &amp; "_" &amp; LOWER(_xlfn.TEXTAFTER(Table1[[#This Row],[player_name]], " ", -1))</f>
        <v>wr_2025_golden</v>
      </c>
      <c r="B154" s="1" t="s">
        <v>208</v>
      </c>
      <c r="C154">
        <v>2025</v>
      </c>
      <c r="D154" s="1" t="s">
        <v>28</v>
      </c>
      <c r="E154">
        <v>70</v>
      </c>
      <c r="F154">
        <v>89</v>
      </c>
      <c r="G154">
        <v>0</v>
      </c>
    </row>
    <row r="155" spans="1:7" x14ac:dyDescent="0.35">
      <c r="A155" t="str">
        <f>LOWER(Table1[[#This Row],[position]]) &amp; "_" &amp; TEXT(DATE(Table1[[#This Row],[season]], 1, 1), "yyyy") &amp; "_" &amp; LOWER(_xlfn.TEXTAFTER(Table1[[#This Row],[player_name]], " ", -1))</f>
        <v>qb_2025_dart</v>
      </c>
      <c r="B155" s="1" t="s">
        <v>209</v>
      </c>
      <c r="C155">
        <v>2025</v>
      </c>
      <c r="D155" s="1" t="s">
        <v>27</v>
      </c>
      <c r="E155">
        <v>241.6</v>
      </c>
      <c r="F155">
        <v>13</v>
      </c>
      <c r="G155">
        <v>0</v>
      </c>
    </row>
    <row r="156" spans="1:7" x14ac:dyDescent="0.35">
      <c r="A156" t="str">
        <f>LOWER(Table1[[#This Row],[position]]) &amp; "_" &amp; TEXT(DATE(Table1[[#This Row],[season]], 1, 1), "yyyy") &amp; "_" &amp; LOWER(_xlfn.TEXTAFTER(Table1[[#This Row],[player_name]], " ", -1))</f>
        <v>qb_2026_mendoza</v>
      </c>
      <c r="B156" s="1" t="s">
        <v>214</v>
      </c>
      <c r="C156">
        <v>2026</v>
      </c>
      <c r="D156" s="1" t="s">
        <v>27</v>
      </c>
    </row>
    <row r="157" spans="1:7" x14ac:dyDescent="0.35">
      <c r="A157" t="str">
        <f>LOWER(Table1[[#This Row],[position]]) &amp; "_" &amp; TEXT(DATE(Table1[[#This Row],[season]], 1, 1), "yyyy") &amp; "_" &amp; LOWER(_xlfn.TEXTAFTER(Table1[[#This Row],[player_name]], " ", -1))</f>
        <v>rb_2026_love</v>
      </c>
      <c r="B157" s="1" t="s">
        <v>215</v>
      </c>
      <c r="C157">
        <v>2026</v>
      </c>
      <c r="D157" s="1" t="s">
        <v>29</v>
      </c>
    </row>
    <row r="158" spans="1:7" x14ac:dyDescent="0.35">
      <c r="A158" t="str">
        <f>LOWER(Table1[[#This Row],[position]]) &amp; "_" &amp; TEXT(DATE(Table1[[#This Row],[season]], 1, 1), "yyyy") &amp; "_" &amp; LOWER(_xlfn.TEXTAFTER(Table1[[#This Row],[player_name]], " ", -1))</f>
        <v>wr_2026_tate</v>
      </c>
      <c r="B158" s="1" t="s">
        <v>216</v>
      </c>
      <c r="C158">
        <v>2026</v>
      </c>
      <c r="D158" s="1" t="s">
        <v>28</v>
      </c>
    </row>
    <row r="159" spans="1:7" x14ac:dyDescent="0.35">
      <c r="A159" t="str">
        <f>LOWER(Table1[[#This Row],[position]]) &amp; "_" &amp; TEXT(DATE(Table1[[#This Row],[season]], 1, 1), "yyyy") &amp; "_" &amp; LOWER(_xlfn.TEXTAFTER(Table1[[#This Row],[player_name]], " ", -1))</f>
        <v>wr_2026_tyson</v>
      </c>
      <c r="B159" s="1" t="s">
        <v>217</v>
      </c>
      <c r="C159">
        <v>2026</v>
      </c>
      <c r="D159" s="1" t="s">
        <v>28</v>
      </c>
    </row>
    <row r="160" spans="1:7" x14ac:dyDescent="0.35">
      <c r="A160" t="str">
        <f>LOWER(Table1[[#This Row],[position]]) &amp; "_" &amp; TEXT(DATE(Table1[[#This Row],[season]], 1, 1), "yyyy") &amp; "_" &amp; LOWER(_xlfn.TEXTAFTER(Table1[[#This Row],[player_name]], " ", -1))</f>
        <v>qb_2026_simpson</v>
      </c>
      <c r="B160" s="1" t="s">
        <v>218</v>
      </c>
      <c r="C160">
        <v>2026</v>
      </c>
      <c r="D160" s="1" t="s">
        <v>27</v>
      </c>
    </row>
    <row r="161" spans="1:4" x14ac:dyDescent="0.35">
      <c r="A161" t="str">
        <f>LOWER(Table1[[#This Row],[position]]) &amp; "_" &amp; TEXT(DATE(Table1[[#This Row],[season]], 1, 1), "yyyy") &amp; "_" &amp; LOWER(_xlfn.TEXTAFTER(Table1[[#This Row],[player_name]], " ", -1))</f>
        <v>te_2026_sadiq</v>
      </c>
      <c r="B161" s="1" t="s">
        <v>219</v>
      </c>
      <c r="C161">
        <v>2026</v>
      </c>
      <c r="D161" s="1" t="s">
        <v>83</v>
      </c>
    </row>
    <row r="162" spans="1:4" x14ac:dyDescent="0.35">
      <c r="A162" t="str">
        <f>LOWER(Table1[[#This Row],[position]]) &amp; "_" &amp; TEXT(DATE(Table1[[#This Row],[season]], 1, 1), "yyyy") &amp; "_" &amp; LOWER(_xlfn.TEXTAFTER(Table1[[#This Row],[player_name]], " ", -1))</f>
        <v>wr_2026_lemon</v>
      </c>
      <c r="B162" s="1" t="s">
        <v>220</v>
      </c>
      <c r="C162">
        <v>2026</v>
      </c>
      <c r="D162" s="1" t="s">
        <v>28</v>
      </c>
    </row>
    <row r="163" spans="1:4" x14ac:dyDescent="0.35">
      <c r="A163" t="str">
        <f>LOWER(Table1[[#This Row],[position]]) &amp; "_" &amp; TEXT(DATE(Table1[[#This Row],[season]], 1, 1), "yyyy") &amp; "_" &amp; LOWER(_xlfn.TEXTAFTER(Table1[[#This Row],[player_name]], " ", -1))</f>
        <v>wr_2026_concepcion</v>
      </c>
      <c r="B163" s="1" t="s">
        <v>221</v>
      </c>
      <c r="C163">
        <v>2026</v>
      </c>
      <c r="D163" s="1" t="s">
        <v>28</v>
      </c>
    </row>
    <row r="164" spans="1:4" x14ac:dyDescent="0.35">
      <c r="A164" t="str">
        <f>LOWER(Table1[[#This Row],[position]]) &amp; "_" &amp; TEXT(DATE(Table1[[#This Row],[season]], 1, 1), "yyyy") &amp; "_" &amp; LOWER(_xlfn.TEXTAFTER(Table1[[#This Row],[player_name]], " ", -1))</f>
        <v>wr_2026_cooper-jr.</v>
      </c>
      <c r="B164" s="1" t="s">
        <v>275</v>
      </c>
      <c r="C164">
        <v>2026</v>
      </c>
      <c r="D164" s="1" t="s">
        <v>28</v>
      </c>
    </row>
    <row r="165" spans="1:4" x14ac:dyDescent="0.35">
      <c r="A165" t="str">
        <f>LOWER(Table1[[#This Row],[position]]) &amp; "_" &amp; TEXT(DATE(Table1[[#This Row],[season]], 1, 1), "yyyy") &amp; "_" &amp; LOWER(_xlfn.TEXTAFTER(Table1[[#This Row],[player_name]], " ", -1))</f>
        <v>rb_2026_price</v>
      </c>
      <c r="B165" s="1" t="s">
        <v>222</v>
      </c>
      <c r="C165">
        <v>2026</v>
      </c>
      <c r="D16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6442-0F04-4165-9DC7-A620CFF3A825}">
  <dimension ref="A1:Q165"/>
  <sheetViews>
    <sheetView tabSelected="1" topLeftCell="A139" workbookViewId="0">
      <selection activeCell="Q159" sqref="Q159"/>
    </sheetView>
  </sheetViews>
  <sheetFormatPr defaultRowHeight="14.5" x14ac:dyDescent="0.35"/>
  <cols>
    <col min="1" max="1" width="21.36328125" bestFit="1" customWidth="1"/>
    <col min="2" max="2" width="21.08984375" customWidth="1"/>
    <col min="4" max="4" width="9.6328125" customWidth="1"/>
    <col min="5" max="5" width="10.1796875" customWidth="1"/>
    <col min="6" max="6" width="12.54296875" customWidth="1"/>
    <col min="7" max="7" width="17.7265625" customWidth="1"/>
    <col min="8" max="8" width="17.26953125" customWidth="1"/>
    <col min="9" max="9" width="14.54296875" customWidth="1"/>
    <col min="10" max="10" width="11.7265625" customWidth="1"/>
    <col min="11" max="11" width="15.36328125" bestFit="1" customWidth="1"/>
    <col min="12" max="12" width="21.54296875" customWidth="1"/>
    <col min="13" max="13" width="13.453125" customWidth="1"/>
    <col min="14" max="14" width="19.1796875" customWidth="1"/>
    <col min="15" max="15" width="22.36328125" customWidth="1"/>
    <col min="16" max="16" width="23.54296875" customWidth="1"/>
    <col min="17" max="17" width="22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</v>
      </c>
      <c r="L1" t="s">
        <v>14</v>
      </c>
      <c r="M1" t="s">
        <v>16</v>
      </c>
      <c r="N1" t="s">
        <v>15</v>
      </c>
      <c r="O1" t="s">
        <v>11</v>
      </c>
      <c r="P1" t="s">
        <v>12</v>
      </c>
      <c r="Q1" t="s">
        <v>13</v>
      </c>
    </row>
    <row r="2" spans="1:17" x14ac:dyDescent="0.35">
      <c r="A2" t="str">
        <f>LOWER(Table1[[#This Row],[position]]) &amp; "_" &amp; TEXT(DATE(Table1[[#This Row],[season]], 1, 1), "yyyy") &amp; "_" &amp; LOWER(_xlfn.TEXTAFTER(Table1[[#This Row],[player_name]], " ", -1))</f>
        <v>qb_2010_bradford</v>
      </c>
      <c r="B2" s="1" t="s">
        <v>265</v>
      </c>
      <c r="C2">
        <v>2010</v>
      </c>
      <c r="D2" s="1" t="s">
        <v>27</v>
      </c>
      <c r="E2" t="s">
        <v>34</v>
      </c>
      <c r="F2" cm="1">
        <f t="array" ref="F2">VALUE(INDEX(_xlfn.TEXTSPLIT(Table1[[#This Row],[player_id]], "_"), 2)) / Table1[[#This Row],[season]]</f>
        <v>1</v>
      </c>
      <c r="G2" s="1">
        <v>1</v>
      </c>
      <c r="H2" s="1">
        <v>22</v>
      </c>
      <c r="I2">
        <v>76</v>
      </c>
      <c r="J2">
        <v>224</v>
      </c>
      <c r="K2" s="1" t="s">
        <v>113</v>
      </c>
      <c r="L2">
        <v>31</v>
      </c>
      <c r="M2">
        <v>8403</v>
      </c>
      <c r="N2">
        <v>88</v>
      </c>
      <c r="O2">
        <v>245.7</v>
      </c>
      <c r="P2">
        <v>16</v>
      </c>
      <c r="Q2">
        <v>0</v>
      </c>
    </row>
    <row r="3" spans="1:17" x14ac:dyDescent="0.35">
      <c r="A3" t="str">
        <f>LOWER(Table1[[#This Row],[position]]) &amp; "_" &amp; TEXT(DATE(Table1[[#This Row],[season]], 1, 1), "yyyy") &amp; "_" &amp; LOWER(_xlfn.TEXTAFTER(Table1[[#This Row],[player_name]], " ", -1))</f>
        <v>rb_2010_spiller</v>
      </c>
      <c r="B3" s="1" t="s">
        <v>266</v>
      </c>
      <c r="C3">
        <v>2010</v>
      </c>
      <c r="D3" s="1" t="s">
        <v>29</v>
      </c>
      <c r="E3" t="s">
        <v>108</v>
      </c>
      <c r="F3" cm="1">
        <f t="array" ref="F3">VALUE(INDEX(_xlfn.TEXTSPLIT(Table1[[#This Row],[player_id]], "_"), 2)) / Table1[[#This Row],[season]]</f>
        <v>1</v>
      </c>
      <c r="G3" s="1">
        <v>9</v>
      </c>
      <c r="H3" s="1">
        <v>23</v>
      </c>
      <c r="I3">
        <v>71</v>
      </c>
      <c r="J3">
        <v>194</v>
      </c>
      <c r="K3" s="1" t="s">
        <v>92</v>
      </c>
      <c r="L3">
        <v>52</v>
      </c>
      <c r="M3">
        <v>3547</v>
      </c>
      <c r="N3">
        <v>32</v>
      </c>
      <c r="O3">
        <v>95.2</v>
      </c>
      <c r="P3">
        <v>49</v>
      </c>
      <c r="Q3">
        <v>0</v>
      </c>
    </row>
    <row r="4" spans="1:17" x14ac:dyDescent="0.35">
      <c r="A4" t="str">
        <f>LOWER(Table1[[#This Row],[position]]) &amp; "_" &amp; TEXT(DATE(Table1[[#This Row],[season]], 1, 1), "yyyy") &amp; "_" &amp; LOWER(_xlfn.TEXTAFTER(Table1[[#This Row],[player_name]], " ", -1))</f>
        <v>rb_2010_mathews</v>
      </c>
      <c r="B4" s="1" t="s">
        <v>267</v>
      </c>
      <c r="C4">
        <v>2010</v>
      </c>
      <c r="D4" s="1" t="s">
        <v>29</v>
      </c>
      <c r="E4" t="s">
        <v>36</v>
      </c>
      <c r="F4" cm="1">
        <f t="array" ref="F4">VALUE(INDEX(_xlfn.TEXTSPLIT(Table1[[#This Row],[player_id]], "_"), 2)) / Table1[[#This Row],[season]]</f>
        <v>1</v>
      </c>
      <c r="G4" s="1">
        <v>12</v>
      </c>
      <c r="H4" s="1">
        <v>22</v>
      </c>
      <c r="I4">
        <v>72</v>
      </c>
      <c r="J4">
        <v>220</v>
      </c>
      <c r="K4" s="1" t="s">
        <v>273</v>
      </c>
      <c r="L4">
        <v>31</v>
      </c>
      <c r="M4">
        <v>3280</v>
      </c>
      <c r="N4">
        <v>39</v>
      </c>
      <c r="O4">
        <v>158.30000000000001</v>
      </c>
      <c r="P4">
        <v>32</v>
      </c>
      <c r="Q4">
        <v>0</v>
      </c>
    </row>
    <row r="5" spans="1:17" x14ac:dyDescent="0.35">
      <c r="A5" t="str">
        <f>LOWER(Table1[[#This Row],[position]]) &amp; "_" &amp; TEXT(DATE(Table1[[#This Row],[season]], 1, 1), "yyyy") &amp; "_" &amp; LOWER(_xlfn.TEXTAFTER(Table1[[#This Row],[player_name]], " ", -1))</f>
        <v>te_2010_gresham</v>
      </c>
      <c r="B5" s="1" t="s">
        <v>268</v>
      </c>
      <c r="C5">
        <v>2010</v>
      </c>
      <c r="D5" s="1" t="s">
        <v>83</v>
      </c>
      <c r="E5" t="s">
        <v>86</v>
      </c>
      <c r="F5" cm="1">
        <f t="array" ref="F5">VALUE(INDEX(_xlfn.TEXTSPLIT(Table1[[#This Row],[player_id]], "_"), 2)) / Table1[[#This Row],[season]]</f>
        <v>1</v>
      </c>
      <c r="G5" s="1">
        <v>21</v>
      </c>
      <c r="H5" s="1">
        <v>22</v>
      </c>
      <c r="I5">
        <v>77</v>
      </c>
      <c r="J5">
        <v>260</v>
      </c>
      <c r="K5" s="1" t="s">
        <v>113</v>
      </c>
      <c r="L5">
        <v>41</v>
      </c>
      <c r="M5">
        <v>1629</v>
      </c>
      <c r="N5">
        <v>26</v>
      </c>
      <c r="O5">
        <v>112.1</v>
      </c>
      <c r="P5">
        <v>16</v>
      </c>
      <c r="Q5">
        <v>0</v>
      </c>
    </row>
    <row r="6" spans="1:17" x14ac:dyDescent="0.35">
      <c r="A6" t="str">
        <f>LOWER(Table1[[#This Row],[position]]) &amp; "_" &amp; TEXT(DATE(Table1[[#This Row],[season]], 1, 1), "yyyy") &amp; "_" &amp; LOWER(_xlfn.TEXTAFTER(Table1[[#This Row],[player_name]], " ", -1))</f>
        <v>wr_2010_thomas</v>
      </c>
      <c r="B6" s="1" t="s">
        <v>269</v>
      </c>
      <c r="C6">
        <v>2010</v>
      </c>
      <c r="D6" s="1" t="s">
        <v>28</v>
      </c>
      <c r="E6" t="s">
        <v>63</v>
      </c>
      <c r="F6" cm="1">
        <f t="array" ref="F6">VALUE(INDEX(_xlfn.TEXTSPLIT(Table1[[#This Row],[player_id]], "_"), 2)) / Table1[[#This Row],[season]]</f>
        <v>1</v>
      </c>
      <c r="G6" s="1">
        <v>22</v>
      </c>
      <c r="H6" s="1">
        <v>22</v>
      </c>
      <c r="I6">
        <v>75</v>
      </c>
      <c r="J6">
        <v>225</v>
      </c>
      <c r="K6" s="1" t="s">
        <v>274</v>
      </c>
      <c r="L6">
        <v>39</v>
      </c>
      <c r="M6">
        <v>2339</v>
      </c>
      <c r="N6">
        <v>15</v>
      </c>
      <c r="O6">
        <v>52.3</v>
      </c>
      <c r="P6">
        <v>87</v>
      </c>
      <c r="Q6">
        <v>0</v>
      </c>
    </row>
    <row r="7" spans="1:17" x14ac:dyDescent="0.35">
      <c r="A7" t="str">
        <f>LOWER(Table1[[#This Row],[position]]) &amp; "_" &amp; TEXT(DATE(Table1[[#This Row],[season]], 1, 1), "yyyy") &amp; "_" &amp; LOWER(_xlfn.TEXTAFTER(Table1[[#This Row],[player_name]], " ", -1))</f>
        <v>wr_2010_bryant</v>
      </c>
      <c r="B7" s="1" t="s">
        <v>270</v>
      </c>
      <c r="C7">
        <v>2010</v>
      </c>
      <c r="D7" s="1" t="s">
        <v>28</v>
      </c>
      <c r="E7" t="s">
        <v>58</v>
      </c>
      <c r="F7" cm="1">
        <f t="array" ref="F7">VALUE(INDEX(_xlfn.TEXTSPLIT(Table1[[#This Row],[player_id]], "_"), 2)) / Table1[[#This Row],[season]]</f>
        <v>1</v>
      </c>
      <c r="G7" s="1">
        <v>24</v>
      </c>
      <c r="H7" s="1">
        <v>21</v>
      </c>
      <c r="I7">
        <v>74</v>
      </c>
      <c r="J7">
        <v>220</v>
      </c>
      <c r="K7" s="1" t="s">
        <v>252</v>
      </c>
      <c r="L7">
        <v>28</v>
      </c>
      <c r="M7">
        <v>2425</v>
      </c>
      <c r="N7">
        <v>29</v>
      </c>
      <c r="O7">
        <v>187.1</v>
      </c>
      <c r="P7">
        <v>24</v>
      </c>
      <c r="Q7">
        <v>1</v>
      </c>
    </row>
    <row r="8" spans="1:17" x14ac:dyDescent="0.35">
      <c r="A8" t="str">
        <f>LOWER(Table1[[#This Row],[position]]) &amp; "_" &amp; TEXT(DATE(Table1[[#This Row],[season]], 1, 1), "yyyy") &amp; "_" &amp; LOWER(_xlfn.TEXTAFTER(Table1[[#This Row],[player_name]], " ", -1))</f>
        <v>qb_2010_tebow</v>
      </c>
      <c r="B8" s="1" t="s">
        <v>271</v>
      </c>
      <c r="C8">
        <v>2010</v>
      </c>
      <c r="D8" s="1" t="s">
        <v>27</v>
      </c>
      <c r="E8" t="s">
        <v>63</v>
      </c>
      <c r="F8" cm="1">
        <f t="array" ref="F8">VALUE(INDEX(_xlfn.TEXTSPLIT(Table1[[#This Row],[player_id]], "_"), 2)) / Table1[[#This Row],[season]]</f>
        <v>1</v>
      </c>
      <c r="G8" s="1">
        <v>25</v>
      </c>
      <c r="H8" s="1">
        <v>23</v>
      </c>
      <c r="I8">
        <v>74</v>
      </c>
      <c r="J8">
        <v>236</v>
      </c>
      <c r="K8" s="1" t="s">
        <v>160</v>
      </c>
      <c r="L8">
        <v>55</v>
      </c>
      <c r="M8">
        <v>9285</v>
      </c>
      <c r="N8">
        <v>88</v>
      </c>
      <c r="O8">
        <v>61.7</v>
      </c>
      <c r="P8">
        <v>39</v>
      </c>
      <c r="Q8">
        <v>0</v>
      </c>
    </row>
    <row r="9" spans="1:17" x14ac:dyDescent="0.35">
      <c r="A9" t="str">
        <f>LOWER(Table1[[#This Row],[position]]) &amp; "_" &amp; TEXT(DATE(Table1[[#This Row],[season]], 1, 1), "yyyy") &amp; "_" &amp; LOWER(_xlfn.TEXTAFTER(Table1[[#This Row],[player_name]], " ", -1))</f>
        <v>rb_2010_best</v>
      </c>
      <c r="B9" s="1" t="s">
        <v>272</v>
      </c>
      <c r="C9">
        <v>2010</v>
      </c>
      <c r="D9" s="1" t="s">
        <v>29</v>
      </c>
      <c r="E9" t="s">
        <v>128</v>
      </c>
      <c r="F9" cm="1">
        <f t="array" ref="F9">VALUE(INDEX(_xlfn.TEXTSPLIT(Table1[[#This Row],[player_id]], "_"), 2)) / Table1[[#This Row],[season]]</f>
        <v>1</v>
      </c>
      <c r="G9" s="1">
        <v>30</v>
      </c>
      <c r="H9" s="1">
        <v>21</v>
      </c>
      <c r="I9">
        <v>69</v>
      </c>
      <c r="J9">
        <v>190</v>
      </c>
      <c r="K9" s="1" t="s">
        <v>64</v>
      </c>
      <c r="L9">
        <v>31</v>
      </c>
      <c r="M9">
        <v>2668</v>
      </c>
      <c r="N9">
        <v>29</v>
      </c>
      <c r="O9">
        <v>218.8</v>
      </c>
      <c r="P9">
        <v>16</v>
      </c>
      <c r="Q9">
        <v>1</v>
      </c>
    </row>
    <row r="10" spans="1:17" x14ac:dyDescent="0.35">
      <c r="A10" t="str">
        <f>LOWER(Table1[[#This Row],[position]]) &amp; "_" &amp; TEXT(DATE(Table1[[#This Row],[season]], 1, 1), "yyyy") &amp; "_" &amp; LOWER(_xlfn.TEXTAFTER(Table1[[#This Row],[player_name]], " ", -1))</f>
        <v>qb_2011_newton</v>
      </c>
      <c r="B10" s="1" t="s">
        <v>255</v>
      </c>
      <c r="C10">
        <v>2011</v>
      </c>
      <c r="D10" s="1" t="s">
        <v>27</v>
      </c>
      <c r="E10" t="s">
        <v>85</v>
      </c>
      <c r="F10" cm="1">
        <f t="array" ref="F10">VALUE(INDEX(_xlfn.TEXTSPLIT(Table1[[#This Row],[player_id]], "_"), 2)) / Table1[[#This Row],[season]]</f>
        <v>1</v>
      </c>
      <c r="G10" s="1">
        <v>1</v>
      </c>
      <c r="H10" s="1">
        <v>22</v>
      </c>
      <c r="I10">
        <v>77</v>
      </c>
      <c r="J10">
        <v>245</v>
      </c>
      <c r="K10" s="1" t="s">
        <v>263</v>
      </c>
      <c r="L10">
        <v>20</v>
      </c>
      <c r="M10">
        <v>2908</v>
      </c>
      <c r="N10">
        <v>30</v>
      </c>
      <c r="O10">
        <v>385</v>
      </c>
      <c r="P10">
        <v>3</v>
      </c>
      <c r="Q10">
        <v>1</v>
      </c>
    </row>
    <row r="11" spans="1:17" x14ac:dyDescent="0.35">
      <c r="A11" t="str">
        <f>LOWER(Table1[[#This Row],[position]]) &amp; "_" &amp; TEXT(DATE(Table1[[#This Row],[season]], 1, 1), "yyyy") &amp; "_" &amp; LOWER(_xlfn.TEXTAFTER(Table1[[#This Row],[player_name]], " ", -1))</f>
        <v>wr_2011_green</v>
      </c>
      <c r="B11" s="1" t="s">
        <v>256</v>
      </c>
      <c r="C11">
        <v>2011</v>
      </c>
      <c r="D11" s="1" t="s">
        <v>28</v>
      </c>
      <c r="E11" t="s">
        <v>86</v>
      </c>
      <c r="F11" cm="1">
        <f t="array" ref="F11">VALUE(INDEX(_xlfn.TEXTSPLIT(Table1[[#This Row],[player_id]], "_"), 2)) / Table1[[#This Row],[season]]</f>
        <v>1</v>
      </c>
      <c r="G11" s="1">
        <v>4</v>
      </c>
      <c r="H11" s="1">
        <v>23</v>
      </c>
      <c r="I11">
        <v>76</v>
      </c>
      <c r="J11">
        <v>207</v>
      </c>
      <c r="K11" s="1" t="s">
        <v>44</v>
      </c>
      <c r="L11">
        <v>32</v>
      </c>
      <c r="M11">
        <v>2619</v>
      </c>
      <c r="N11">
        <v>23</v>
      </c>
      <c r="O11">
        <v>247.7</v>
      </c>
      <c r="P11">
        <v>14</v>
      </c>
      <c r="Q11">
        <v>1</v>
      </c>
    </row>
    <row r="12" spans="1:17" x14ac:dyDescent="0.35">
      <c r="A12" t="str">
        <f>LOWER(Table1[[#This Row],[position]]) &amp; "_" &amp; TEXT(DATE(Table1[[#This Row],[season]], 1, 1), "yyyy") &amp; "_" &amp; LOWER(_xlfn.TEXTAFTER(Table1[[#This Row],[player_name]], " ", -1))</f>
        <v>wr_2011_jones</v>
      </c>
      <c r="B12" s="1" t="s">
        <v>257</v>
      </c>
      <c r="C12">
        <v>2011</v>
      </c>
      <c r="D12" s="1" t="s">
        <v>28</v>
      </c>
      <c r="E12" t="s">
        <v>110</v>
      </c>
      <c r="F12" cm="1">
        <f t="array" ref="F12">VALUE(INDEX(_xlfn.TEXTSPLIT(Table1[[#This Row],[player_id]], "_"), 2)) / Table1[[#This Row],[season]]</f>
        <v>1</v>
      </c>
      <c r="G12" s="1">
        <v>6</v>
      </c>
      <c r="H12" s="1">
        <v>22</v>
      </c>
      <c r="I12">
        <v>75</v>
      </c>
      <c r="J12">
        <v>220</v>
      </c>
      <c r="K12" s="1" t="s">
        <v>42</v>
      </c>
      <c r="L12">
        <v>40</v>
      </c>
      <c r="M12">
        <v>2653</v>
      </c>
      <c r="N12">
        <v>15</v>
      </c>
      <c r="O12">
        <v>180.9</v>
      </c>
      <c r="P12">
        <v>26</v>
      </c>
      <c r="Q12">
        <v>1</v>
      </c>
    </row>
    <row r="13" spans="1:17" x14ac:dyDescent="0.35">
      <c r="A13" t="str">
        <f>LOWER(Table1[[#This Row],[position]]) &amp; "_" &amp; TEXT(DATE(Table1[[#This Row],[season]], 1, 1), "yyyy") &amp; "_" &amp; LOWER(_xlfn.TEXTAFTER(Table1[[#This Row],[player_name]], " ", -1))</f>
        <v>qb_2011_locker</v>
      </c>
      <c r="B13" s="1" t="s">
        <v>258</v>
      </c>
      <c r="C13">
        <v>2011</v>
      </c>
      <c r="D13" s="1" t="s">
        <v>27</v>
      </c>
      <c r="E13" t="s">
        <v>31</v>
      </c>
      <c r="F13" cm="1">
        <f t="array" ref="F13">VALUE(INDEX(_xlfn.TEXTSPLIT(Table1[[#This Row],[player_id]], "_"), 2)) / Table1[[#This Row],[season]]</f>
        <v>1</v>
      </c>
      <c r="G13" s="1">
        <v>8</v>
      </c>
      <c r="H13" s="1">
        <v>23</v>
      </c>
      <c r="I13">
        <v>74</v>
      </c>
      <c r="J13">
        <v>228</v>
      </c>
      <c r="K13" s="1" t="s">
        <v>94</v>
      </c>
      <c r="L13">
        <v>40</v>
      </c>
      <c r="M13">
        <v>7639</v>
      </c>
      <c r="N13">
        <v>53</v>
      </c>
      <c r="O13">
        <v>18.7</v>
      </c>
      <c r="P13">
        <v>56</v>
      </c>
      <c r="Q13">
        <v>0</v>
      </c>
    </row>
    <row r="14" spans="1:17" x14ac:dyDescent="0.35">
      <c r="A14" t="str">
        <f>LOWER(Table1[[#This Row],[position]]) &amp; "_" &amp; TEXT(DATE(Table1[[#This Row],[season]], 1, 1), "yyyy") &amp; "_" &amp; LOWER(_xlfn.TEXTAFTER(Table1[[#This Row],[player_name]], " ", -1))</f>
        <v>qb_2011_gabbert</v>
      </c>
      <c r="B14" s="1" t="s">
        <v>259</v>
      </c>
      <c r="C14">
        <v>2011</v>
      </c>
      <c r="D14" s="1" t="s">
        <v>27</v>
      </c>
      <c r="E14" t="s">
        <v>84</v>
      </c>
      <c r="F14" cm="1">
        <f t="array" ref="F14">VALUE(INDEX(_xlfn.TEXTSPLIT(Table1[[#This Row],[player_id]], "_"), 2)) / Table1[[#This Row],[season]]</f>
        <v>1</v>
      </c>
      <c r="G14" s="1">
        <v>10</v>
      </c>
      <c r="H14" s="1">
        <v>21</v>
      </c>
      <c r="I14">
        <v>76</v>
      </c>
      <c r="J14">
        <v>233</v>
      </c>
      <c r="K14" s="1" t="s">
        <v>264</v>
      </c>
      <c r="L14">
        <v>31</v>
      </c>
      <c r="M14">
        <v>6822</v>
      </c>
      <c r="N14">
        <v>40</v>
      </c>
      <c r="O14">
        <v>135.30000000000001</v>
      </c>
      <c r="P14">
        <v>32</v>
      </c>
      <c r="Q14">
        <v>0</v>
      </c>
    </row>
    <row r="15" spans="1:17" x14ac:dyDescent="0.35">
      <c r="A15" t="str">
        <f>LOWER(Table1[[#This Row],[position]]) &amp; "_" &amp; TEXT(DATE(Table1[[#This Row],[season]], 1, 1), "yyyy") &amp; "_" &amp; LOWER(_xlfn.TEXTAFTER(Table1[[#This Row],[player_name]], " ", -1))</f>
        <v>qb_2011_ponder</v>
      </c>
      <c r="B15" s="1" t="s">
        <v>260</v>
      </c>
      <c r="C15">
        <v>2011</v>
      </c>
      <c r="D15" s="1" t="s">
        <v>27</v>
      </c>
      <c r="E15" t="s">
        <v>62</v>
      </c>
      <c r="F15" cm="1">
        <f t="array" ref="F15">VALUE(INDEX(_xlfn.TEXTSPLIT(Table1[[#This Row],[player_id]], "_"), 2)) / Table1[[#This Row],[season]]</f>
        <v>1</v>
      </c>
      <c r="G15" s="1">
        <v>12</v>
      </c>
      <c r="H15" s="1">
        <v>23</v>
      </c>
      <c r="I15">
        <v>74</v>
      </c>
      <c r="J15">
        <v>222</v>
      </c>
      <c r="K15" s="1" t="s">
        <v>40</v>
      </c>
      <c r="L15">
        <v>35</v>
      </c>
      <c r="M15">
        <v>6872</v>
      </c>
      <c r="N15">
        <v>49</v>
      </c>
      <c r="O15">
        <v>134</v>
      </c>
      <c r="P15">
        <v>28</v>
      </c>
      <c r="Q15">
        <v>0</v>
      </c>
    </row>
    <row r="16" spans="1:17" x14ac:dyDescent="0.35">
      <c r="A16" t="str">
        <f>LOWER(Table1[[#This Row],[position]]) &amp; "_" &amp; TEXT(DATE(Table1[[#This Row],[season]], 1, 1), "yyyy") &amp; "_" &amp; LOWER(_xlfn.TEXTAFTER(Table1[[#This Row],[player_name]], " ", -1))</f>
        <v>wr_2011_baldwin</v>
      </c>
      <c r="B16" s="1" t="s">
        <v>261</v>
      </c>
      <c r="C16">
        <v>2011</v>
      </c>
      <c r="D16" s="1" t="s">
        <v>28</v>
      </c>
      <c r="E16" t="s">
        <v>87</v>
      </c>
      <c r="F16" cm="1">
        <f t="array" ref="F16">VALUE(INDEX(_xlfn.TEXTSPLIT(Table1[[#This Row],[player_id]], "_"), 2)) / Table1[[#This Row],[season]]</f>
        <v>1</v>
      </c>
      <c r="G16" s="1">
        <v>26</v>
      </c>
      <c r="H16" s="1">
        <v>22</v>
      </c>
      <c r="I16">
        <v>76</v>
      </c>
      <c r="J16">
        <v>225</v>
      </c>
      <c r="K16" s="1" t="s">
        <v>171</v>
      </c>
      <c r="L16">
        <v>39</v>
      </c>
      <c r="M16">
        <v>2337</v>
      </c>
      <c r="N16">
        <v>16</v>
      </c>
      <c r="O16">
        <v>30.1</v>
      </c>
      <c r="P16">
        <v>109</v>
      </c>
      <c r="Q16">
        <v>0</v>
      </c>
    </row>
    <row r="17" spans="1:17" x14ac:dyDescent="0.35">
      <c r="A17" t="str">
        <f>LOWER(Table1[[#This Row],[position]]) &amp; "_" &amp; TEXT(DATE(Table1[[#This Row],[season]], 1, 1), "yyyy") &amp; "_" &amp; LOWER(_xlfn.TEXTAFTER(Table1[[#This Row],[player_name]], " ", -1))</f>
        <v>rb_2011_ingram</v>
      </c>
      <c r="B17" s="1" t="s">
        <v>262</v>
      </c>
      <c r="C17">
        <v>2011</v>
      </c>
      <c r="D17" s="1" t="s">
        <v>29</v>
      </c>
      <c r="E17" t="s">
        <v>172</v>
      </c>
      <c r="F17" cm="1">
        <f t="array" ref="F17">VALUE(INDEX(_xlfn.TEXTSPLIT(Table1[[#This Row],[player_id]], "_"), 2)) / Table1[[#This Row],[season]]</f>
        <v>1</v>
      </c>
      <c r="G17" s="1">
        <v>28</v>
      </c>
      <c r="H17" s="1">
        <v>21</v>
      </c>
      <c r="I17">
        <v>69</v>
      </c>
      <c r="J17">
        <v>215</v>
      </c>
      <c r="K17" s="1" t="s">
        <v>42</v>
      </c>
      <c r="L17">
        <v>39</v>
      </c>
      <c r="M17">
        <v>3261</v>
      </c>
      <c r="N17">
        <v>42</v>
      </c>
      <c r="O17">
        <v>131</v>
      </c>
      <c r="P17">
        <v>43</v>
      </c>
      <c r="Q17">
        <v>0</v>
      </c>
    </row>
    <row r="18" spans="1:17" x14ac:dyDescent="0.35">
      <c r="A18" t="str">
        <f>LOWER(Table1[[#This Row],[position]]) &amp; "_" &amp; TEXT(DATE(Table1[[#This Row],[season]], 1, 1), "yyyy") &amp; "_" &amp; LOWER(_xlfn.TEXTAFTER(Table1[[#This Row],[player_name]], " ", -1))</f>
        <v>qb_2012_luck</v>
      </c>
      <c r="B18" s="1" t="s">
        <v>241</v>
      </c>
      <c r="C18">
        <v>2012</v>
      </c>
      <c r="D18" s="1" t="s">
        <v>27</v>
      </c>
      <c r="E18" t="s">
        <v>39</v>
      </c>
      <c r="F18" cm="1">
        <f t="array" ref="F18">VALUE(INDEX(_xlfn.TEXTSPLIT(Table1[[#This Row],[player_id]], "_"), 2)) / Table1[[#This Row],[season]]</f>
        <v>1</v>
      </c>
      <c r="G18" s="1">
        <v>1</v>
      </c>
      <c r="H18" s="1">
        <v>22</v>
      </c>
      <c r="I18">
        <v>76</v>
      </c>
      <c r="J18">
        <v>240</v>
      </c>
      <c r="K18" s="1" t="s">
        <v>93</v>
      </c>
      <c r="L18">
        <v>38</v>
      </c>
      <c r="M18">
        <v>9430</v>
      </c>
      <c r="N18">
        <v>82</v>
      </c>
      <c r="O18">
        <v>339.7</v>
      </c>
      <c r="P18">
        <v>9</v>
      </c>
      <c r="Q18">
        <v>1</v>
      </c>
    </row>
    <row r="19" spans="1:17" x14ac:dyDescent="0.35">
      <c r="A19" t="str">
        <f>LOWER(Table1[[#This Row],[position]]) &amp; "_" &amp; TEXT(DATE(Table1[[#This Row],[season]], 1, 1), "yyyy") &amp; "_" &amp; LOWER(_xlfn.TEXTAFTER(Table1[[#This Row],[player_name]], " ", -1))</f>
        <v>qb_2012_griffin-iii</v>
      </c>
      <c r="B19" s="1" t="s">
        <v>251</v>
      </c>
      <c r="C19">
        <v>2012</v>
      </c>
      <c r="D19" s="1" t="s">
        <v>27</v>
      </c>
      <c r="E19" t="s">
        <v>61</v>
      </c>
      <c r="F19" cm="1">
        <f t="array" ref="F19">VALUE(INDEX(_xlfn.TEXTSPLIT(Table1[[#This Row],[player_id]], "_"), 2)) / Table1[[#This Row],[season]]</f>
        <v>1</v>
      </c>
      <c r="G19" s="1">
        <v>2</v>
      </c>
      <c r="H19" s="1">
        <v>22</v>
      </c>
      <c r="I19">
        <v>74</v>
      </c>
      <c r="J19">
        <v>213</v>
      </c>
      <c r="K19" s="1" t="s">
        <v>67</v>
      </c>
      <c r="L19">
        <v>41</v>
      </c>
      <c r="M19">
        <v>10366</v>
      </c>
      <c r="N19">
        <v>78</v>
      </c>
      <c r="O19">
        <v>357.1</v>
      </c>
      <c r="P19">
        <v>5</v>
      </c>
      <c r="Q19">
        <v>1</v>
      </c>
    </row>
    <row r="20" spans="1:17" x14ac:dyDescent="0.35">
      <c r="A20" t="str">
        <f>LOWER(Table1[[#This Row],[position]]) &amp; "_" &amp; TEXT(DATE(Table1[[#This Row],[season]], 1, 1), "yyyy") &amp; "_" &amp; LOWER(_xlfn.TEXTAFTER(Table1[[#This Row],[player_name]], " ", -1))</f>
        <v>rb_2012_richardson</v>
      </c>
      <c r="B20" s="1" t="s">
        <v>242</v>
      </c>
      <c r="C20">
        <v>2012</v>
      </c>
      <c r="D20" s="1" t="s">
        <v>29</v>
      </c>
      <c r="E20" t="s">
        <v>59</v>
      </c>
      <c r="F20" cm="1">
        <f t="array" ref="F20">VALUE(INDEX(_xlfn.TEXTSPLIT(Table1[[#This Row],[player_id]], "_"), 2)) / Table1[[#This Row],[season]]</f>
        <v>1</v>
      </c>
      <c r="G20" s="1">
        <v>3</v>
      </c>
      <c r="H20" s="1">
        <v>22</v>
      </c>
      <c r="I20">
        <v>69</v>
      </c>
      <c r="J20">
        <v>228</v>
      </c>
      <c r="K20" s="1" t="s">
        <v>42</v>
      </c>
      <c r="L20">
        <v>38</v>
      </c>
      <c r="M20">
        <v>3130</v>
      </c>
      <c r="N20">
        <v>35</v>
      </c>
      <c r="O20">
        <v>267.89999999999998</v>
      </c>
      <c r="P20">
        <v>8</v>
      </c>
      <c r="Q20">
        <v>1</v>
      </c>
    </row>
    <row r="21" spans="1:17" x14ac:dyDescent="0.35">
      <c r="A21" t="str">
        <f>LOWER(Table1[[#This Row],[position]]) &amp; "_" &amp; TEXT(DATE(Table1[[#This Row],[season]], 1, 1), "yyyy") &amp; "_" &amp; LOWER(_xlfn.TEXTAFTER(Table1[[#This Row],[player_name]], " ", -1))</f>
        <v>wr_2012_blackmon</v>
      </c>
      <c r="B21" s="1" t="s">
        <v>243</v>
      </c>
      <c r="C21">
        <v>2012</v>
      </c>
      <c r="D21" s="1" t="s">
        <v>28</v>
      </c>
      <c r="E21" t="s">
        <v>84</v>
      </c>
      <c r="F21" cm="1">
        <f t="array" ref="F21">VALUE(INDEX(_xlfn.TEXTSPLIT(Table1[[#This Row],[player_id]], "_"), 2)) / Table1[[#This Row],[season]]</f>
        <v>1</v>
      </c>
      <c r="G21" s="1">
        <v>5</v>
      </c>
      <c r="H21" s="1">
        <v>22</v>
      </c>
      <c r="I21">
        <v>73</v>
      </c>
      <c r="J21">
        <v>210</v>
      </c>
      <c r="K21" s="1" t="s">
        <v>252</v>
      </c>
      <c r="L21">
        <v>38</v>
      </c>
      <c r="M21">
        <v>3564</v>
      </c>
      <c r="N21">
        <v>40</v>
      </c>
      <c r="O21">
        <v>192.5</v>
      </c>
      <c r="P21">
        <v>28</v>
      </c>
      <c r="Q21">
        <v>1</v>
      </c>
    </row>
    <row r="22" spans="1:17" x14ac:dyDescent="0.35">
      <c r="A22" t="str">
        <f>LOWER(Table1[[#This Row],[position]]) &amp; "_" &amp; TEXT(DATE(Table1[[#This Row],[season]], 1, 1), "yyyy") &amp; "_" &amp; LOWER(_xlfn.TEXTAFTER(Table1[[#This Row],[player_name]], " ", -1))</f>
        <v>qb_2012_tannehill</v>
      </c>
      <c r="B22" s="1" t="s">
        <v>244</v>
      </c>
      <c r="C22">
        <v>2012</v>
      </c>
      <c r="D22" s="1" t="s">
        <v>27</v>
      </c>
      <c r="E22" t="s">
        <v>35</v>
      </c>
      <c r="F22" cm="1">
        <f t="array" ref="F22">VALUE(INDEX(_xlfn.TEXTSPLIT(Table1[[#This Row],[player_id]], "_"), 2)) / Table1[[#This Row],[season]]</f>
        <v>1</v>
      </c>
      <c r="G22" s="1">
        <v>8</v>
      </c>
      <c r="H22" s="1">
        <v>24</v>
      </c>
      <c r="I22">
        <v>76</v>
      </c>
      <c r="J22">
        <v>217</v>
      </c>
      <c r="K22" s="1" t="s">
        <v>224</v>
      </c>
      <c r="L22">
        <v>50</v>
      </c>
      <c r="M22">
        <v>5450</v>
      </c>
      <c r="N22">
        <v>42</v>
      </c>
      <c r="O22">
        <v>250.6</v>
      </c>
      <c r="P22">
        <v>19</v>
      </c>
      <c r="Q22">
        <v>0</v>
      </c>
    </row>
    <row r="23" spans="1:17" x14ac:dyDescent="0.35">
      <c r="A23" t="str">
        <f>LOWER(Table1[[#This Row],[position]]) &amp; "_" &amp; TEXT(DATE(Table1[[#This Row],[season]], 1, 1), "yyyy") &amp; "_" &amp; LOWER(_xlfn.TEXTAFTER(Table1[[#This Row],[player_name]], " ", -1))</f>
        <v>wr_2012_floyd</v>
      </c>
      <c r="B23" s="1" t="s">
        <v>245</v>
      </c>
      <c r="C23">
        <v>2012</v>
      </c>
      <c r="D23" s="1" t="s">
        <v>28</v>
      </c>
      <c r="E23" t="s">
        <v>109</v>
      </c>
      <c r="F23" cm="1">
        <f t="array" ref="F23">VALUE(INDEX(_xlfn.TEXTSPLIT(Table1[[#This Row],[player_id]], "_"), 2)) / Table1[[#This Row],[season]]</f>
        <v>1</v>
      </c>
      <c r="G23" s="1">
        <v>13</v>
      </c>
      <c r="H23" s="1">
        <v>22</v>
      </c>
      <c r="I23">
        <v>75</v>
      </c>
      <c r="J23">
        <v>220</v>
      </c>
      <c r="K23" s="1" t="s">
        <v>68</v>
      </c>
      <c r="L23">
        <v>43</v>
      </c>
      <c r="M23">
        <v>3686</v>
      </c>
      <c r="N23">
        <v>37</v>
      </c>
      <c r="O23">
        <v>65.2</v>
      </c>
      <c r="P23">
        <v>45</v>
      </c>
      <c r="Q23">
        <v>0</v>
      </c>
    </row>
    <row r="24" spans="1:17" x14ac:dyDescent="0.35">
      <c r="A24" t="str">
        <f>LOWER(Table1[[#This Row],[position]]) &amp; "_" &amp; TEXT(DATE(Table1[[#This Row],[season]], 1, 1), "yyyy") &amp; "_" &amp; LOWER(_xlfn.TEXTAFTER(Table1[[#This Row],[player_name]], " ", -1))</f>
        <v>wr_2012_wright</v>
      </c>
      <c r="B24" s="1" t="s">
        <v>246</v>
      </c>
      <c r="C24">
        <v>2012</v>
      </c>
      <c r="D24" s="1" t="s">
        <v>28</v>
      </c>
      <c r="E24" t="s">
        <v>31</v>
      </c>
      <c r="F24" cm="1">
        <f t="array" ref="F24">VALUE(INDEX(_xlfn.TEXTSPLIT(Table1[[#This Row],[player_id]], "_"), 2)) / Table1[[#This Row],[season]]</f>
        <v>1</v>
      </c>
      <c r="G24" s="1">
        <v>20</v>
      </c>
      <c r="H24" s="1">
        <v>22</v>
      </c>
      <c r="I24">
        <v>70</v>
      </c>
      <c r="J24">
        <v>185</v>
      </c>
      <c r="K24" s="1" t="s">
        <v>67</v>
      </c>
      <c r="L24">
        <v>50</v>
      </c>
      <c r="M24">
        <v>4004</v>
      </c>
      <c r="N24">
        <v>30</v>
      </c>
      <c r="O24">
        <v>189.6</v>
      </c>
      <c r="P24">
        <v>31</v>
      </c>
      <c r="Q24">
        <v>1</v>
      </c>
    </row>
    <row r="25" spans="1:17" x14ac:dyDescent="0.35">
      <c r="A25" t="str">
        <f>LOWER(Table1[[#This Row],[position]]) &amp; "_" &amp; TEXT(DATE(Table1[[#This Row],[season]], 1, 1), "yyyy") &amp; "_" &amp; LOWER(_xlfn.TEXTAFTER(Table1[[#This Row],[player_name]], " ", -1))</f>
        <v>qb_2012_weeden</v>
      </c>
      <c r="B25" s="1" t="s">
        <v>247</v>
      </c>
      <c r="C25">
        <v>2012</v>
      </c>
      <c r="D25" s="1" t="s">
        <v>27</v>
      </c>
      <c r="E25" t="s">
        <v>59</v>
      </c>
      <c r="F25" cm="1">
        <f t="array" ref="F25">VALUE(INDEX(_xlfn.TEXTSPLIT(Table1[[#This Row],[player_id]], "_"), 2)) / Table1[[#This Row],[season]]</f>
        <v>1</v>
      </c>
      <c r="G25" s="1">
        <v>22</v>
      </c>
      <c r="H25" s="1">
        <v>28</v>
      </c>
      <c r="I25">
        <v>75</v>
      </c>
      <c r="J25">
        <v>227</v>
      </c>
      <c r="K25" s="1" t="s">
        <v>252</v>
      </c>
      <c r="L25">
        <v>30</v>
      </c>
      <c r="M25">
        <v>9260</v>
      </c>
      <c r="N25">
        <v>75</v>
      </c>
      <c r="O25">
        <v>219.8</v>
      </c>
      <c r="P25">
        <v>23</v>
      </c>
      <c r="Q25">
        <v>0</v>
      </c>
    </row>
    <row r="26" spans="1:17" x14ac:dyDescent="0.35">
      <c r="A26" t="str">
        <f>LOWER(Table1[[#This Row],[position]]) &amp; "_" &amp; TEXT(DATE(Table1[[#This Row],[season]], 1, 1), "yyyy") &amp; "_" &amp; LOWER(_xlfn.TEXTAFTER(Table1[[#This Row],[player_name]], " ", -1))</f>
        <v>wr_2012_jenkins</v>
      </c>
      <c r="B26" s="1" t="s">
        <v>248</v>
      </c>
      <c r="C26">
        <v>2012</v>
      </c>
      <c r="D26" s="1" t="s">
        <v>28</v>
      </c>
      <c r="E26" t="s">
        <v>144</v>
      </c>
      <c r="F26" cm="1">
        <f t="array" ref="F26">VALUE(INDEX(_xlfn.TEXTSPLIT(Table1[[#This Row],[player_id]], "_"), 2)) / Table1[[#This Row],[season]]</f>
        <v>1</v>
      </c>
      <c r="G26" s="1">
        <v>30</v>
      </c>
      <c r="H26" s="1">
        <v>22</v>
      </c>
      <c r="I26">
        <v>72</v>
      </c>
      <c r="J26">
        <v>192</v>
      </c>
      <c r="K26" s="1" t="s">
        <v>253</v>
      </c>
      <c r="L26">
        <v>46</v>
      </c>
      <c r="M26">
        <v>2432</v>
      </c>
      <c r="N26">
        <v>19</v>
      </c>
      <c r="O26">
        <v>0</v>
      </c>
      <c r="P26">
        <v>999</v>
      </c>
      <c r="Q26">
        <v>0</v>
      </c>
    </row>
    <row r="27" spans="1:17" x14ac:dyDescent="0.35">
      <c r="A27" t="str">
        <f>LOWER(Table1[[#This Row],[position]]) &amp; "_" &amp; TEXT(DATE(Table1[[#This Row],[season]], 1, 1), "yyyy") &amp; "_" &amp; LOWER(_xlfn.TEXTAFTER(Table1[[#This Row],[player_name]], " ", -1))</f>
        <v>rb_2012_martin</v>
      </c>
      <c r="B27" s="1" t="s">
        <v>249</v>
      </c>
      <c r="C27">
        <v>2012</v>
      </c>
      <c r="D27" s="1" t="s">
        <v>29</v>
      </c>
      <c r="E27" t="s">
        <v>30</v>
      </c>
      <c r="F27" cm="1">
        <f t="array" ref="F27">VALUE(INDEX(_xlfn.TEXTSPLIT(Table1[[#This Row],[player_id]], "_"), 2)) / Table1[[#This Row],[season]]</f>
        <v>1</v>
      </c>
      <c r="G27" s="1">
        <v>31</v>
      </c>
      <c r="H27" s="1">
        <v>23</v>
      </c>
      <c r="I27">
        <v>69</v>
      </c>
      <c r="J27">
        <v>210</v>
      </c>
      <c r="K27" s="1" t="s">
        <v>211</v>
      </c>
      <c r="L27">
        <v>52</v>
      </c>
      <c r="M27">
        <v>3431</v>
      </c>
      <c r="N27">
        <v>43</v>
      </c>
      <c r="O27">
        <v>319.60000000000002</v>
      </c>
      <c r="P27">
        <v>2</v>
      </c>
      <c r="Q27">
        <v>1</v>
      </c>
    </row>
    <row r="28" spans="1:17" x14ac:dyDescent="0.35">
      <c r="A28" t="str">
        <f>LOWER(Table1[[#This Row],[position]]) &amp; "_" &amp; TEXT(DATE(Table1[[#This Row],[season]], 1, 1), "yyyy") &amp; "_" &amp; LOWER(_xlfn.TEXTAFTER(Table1[[#This Row],[player_name]], " ", -1))</f>
        <v>rb_2012_wilson</v>
      </c>
      <c r="B28" s="1" t="s">
        <v>250</v>
      </c>
      <c r="C28">
        <v>2012</v>
      </c>
      <c r="D28" s="1" t="s">
        <v>29</v>
      </c>
      <c r="E28" t="s">
        <v>88</v>
      </c>
      <c r="F28" cm="1">
        <f t="array" ref="F28">VALUE(INDEX(_xlfn.TEXTSPLIT(Table1[[#This Row],[player_id]], "_"), 2)) / Table1[[#This Row],[season]]</f>
        <v>1</v>
      </c>
      <c r="G28" s="1">
        <v>32</v>
      </c>
      <c r="H28" s="1">
        <v>21</v>
      </c>
      <c r="I28">
        <v>70</v>
      </c>
      <c r="J28">
        <v>205</v>
      </c>
      <c r="K28" s="1" t="s">
        <v>254</v>
      </c>
      <c r="L28">
        <v>40</v>
      </c>
      <c r="M28">
        <v>2662</v>
      </c>
      <c r="N28">
        <v>18</v>
      </c>
      <c r="O28">
        <v>74.400000000000006</v>
      </c>
      <c r="P28">
        <v>46</v>
      </c>
      <c r="Q28">
        <v>0</v>
      </c>
    </row>
    <row r="29" spans="1:17" x14ac:dyDescent="0.35">
      <c r="A29" t="str">
        <f>LOWER(Table1[[#This Row],[position]]) &amp; "_" &amp; TEXT(DATE(Table1[[#This Row],[season]], 1, 1), "yyyy") &amp; "_" &amp; LOWER(_xlfn.TEXTAFTER(Table1[[#This Row],[player_name]], " ", -1))</f>
        <v>wr_2013_austin</v>
      </c>
      <c r="B29" s="1" t="s">
        <v>235</v>
      </c>
      <c r="C29">
        <v>2013</v>
      </c>
      <c r="D29" s="1" t="s">
        <v>28</v>
      </c>
      <c r="E29" t="s">
        <v>34</v>
      </c>
      <c r="F29" cm="1">
        <f t="array" ref="F29">VALUE(INDEX(_xlfn.TEXTSPLIT(Table1[[#This Row],[player_id]], "_"), 2)) / Table1[[#This Row],[season]]</f>
        <v>1</v>
      </c>
      <c r="G29" s="1">
        <v>8</v>
      </c>
      <c r="H29" s="1">
        <v>23</v>
      </c>
      <c r="I29">
        <v>68</v>
      </c>
      <c r="J29">
        <v>179</v>
      </c>
      <c r="K29" s="1" t="s">
        <v>43</v>
      </c>
      <c r="L29">
        <v>52</v>
      </c>
      <c r="M29">
        <v>3413</v>
      </c>
      <c r="N29">
        <v>29</v>
      </c>
      <c r="O29">
        <v>151.80000000000001</v>
      </c>
      <c r="P29">
        <v>44</v>
      </c>
      <c r="Q29">
        <v>0</v>
      </c>
    </row>
    <row r="30" spans="1:17" x14ac:dyDescent="0.35">
      <c r="A30" t="str">
        <f>LOWER(Table1[[#This Row],[position]]) &amp; "_" &amp; TEXT(DATE(Table1[[#This Row],[season]], 1, 1), "yyyy") &amp; "_" &amp; LOWER(_xlfn.TEXTAFTER(Table1[[#This Row],[player_name]], " ", -1))</f>
        <v>qb_2013_manuel</v>
      </c>
      <c r="B30" s="1" t="s">
        <v>236</v>
      </c>
      <c r="C30">
        <v>2013</v>
      </c>
      <c r="D30" s="1" t="s">
        <v>27</v>
      </c>
      <c r="E30" t="s">
        <v>108</v>
      </c>
      <c r="F30" cm="1">
        <f t="array" ref="F30">VALUE(INDEX(_xlfn.TEXTSPLIT(Table1[[#This Row],[player_id]], "_"), 2)) / Table1[[#This Row],[season]]</f>
        <v>1</v>
      </c>
      <c r="G30" s="1">
        <v>16</v>
      </c>
      <c r="H30" s="1">
        <v>23</v>
      </c>
      <c r="I30">
        <v>76</v>
      </c>
      <c r="J30">
        <v>237</v>
      </c>
      <c r="K30" s="1" t="s">
        <v>40</v>
      </c>
      <c r="L30">
        <v>43</v>
      </c>
      <c r="M30">
        <v>7741</v>
      </c>
      <c r="N30">
        <v>47</v>
      </c>
      <c r="O30">
        <v>171.9</v>
      </c>
      <c r="P30">
        <v>27</v>
      </c>
      <c r="Q30">
        <v>0</v>
      </c>
    </row>
    <row r="31" spans="1:17" x14ac:dyDescent="0.35">
      <c r="A31" t="str">
        <f>LOWER(Table1[[#This Row],[position]]) &amp; "_" &amp; TEXT(DATE(Table1[[#This Row],[season]], 1, 1), "yyyy") &amp; "_" &amp; LOWER(_xlfn.TEXTAFTER(Table1[[#This Row],[player_name]], " ", -1))</f>
        <v>te_2013_eifert</v>
      </c>
      <c r="B31" s="1" t="s">
        <v>237</v>
      </c>
      <c r="C31">
        <v>2013</v>
      </c>
      <c r="D31" s="1" t="s">
        <v>83</v>
      </c>
      <c r="E31" t="s">
        <v>86</v>
      </c>
      <c r="F31" cm="1">
        <f t="array" ref="F31">VALUE(INDEX(_xlfn.TEXTSPLIT(Table1[[#This Row],[player_id]], "_"), 2)) / Table1[[#This Row],[season]]</f>
        <v>1</v>
      </c>
      <c r="G31" s="1">
        <v>21</v>
      </c>
      <c r="H31" s="1">
        <v>22</v>
      </c>
      <c r="I31">
        <v>78</v>
      </c>
      <c r="J31">
        <v>255</v>
      </c>
      <c r="K31" s="1" t="s">
        <v>68</v>
      </c>
      <c r="L31">
        <v>37</v>
      </c>
      <c r="M31">
        <v>1840</v>
      </c>
      <c r="N31">
        <v>11</v>
      </c>
      <c r="O31">
        <v>65.5</v>
      </c>
      <c r="P31">
        <v>18</v>
      </c>
      <c r="Q31">
        <v>0</v>
      </c>
    </row>
    <row r="32" spans="1:17" x14ac:dyDescent="0.35">
      <c r="A32" t="str">
        <f>LOWER(Table1[[#This Row],[position]]) &amp; "_" &amp; TEXT(DATE(Table1[[#This Row],[season]], 1, 1), "yyyy") &amp; "_" &amp; LOWER(_xlfn.TEXTAFTER(Table1[[#This Row],[player_name]], " ", -1))</f>
        <v>wr_2013_hopkins</v>
      </c>
      <c r="B32" s="1" t="s">
        <v>238</v>
      </c>
      <c r="C32">
        <v>2013</v>
      </c>
      <c r="D32" s="1" t="s">
        <v>28</v>
      </c>
      <c r="E32" t="s">
        <v>60</v>
      </c>
      <c r="F32" cm="1">
        <f t="array" ref="F32">VALUE(INDEX(_xlfn.TEXTSPLIT(Table1[[#This Row],[player_id]], "_"), 2)) / Table1[[#This Row],[season]]</f>
        <v>1</v>
      </c>
      <c r="G32" s="1">
        <v>27</v>
      </c>
      <c r="H32" s="1">
        <v>21</v>
      </c>
      <c r="I32">
        <v>73</v>
      </c>
      <c r="J32">
        <v>210</v>
      </c>
      <c r="K32" s="1" t="s">
        <v>92</v>
      </c>
      <c r="L32">
        <v>39</v>
      </c>
      <c r="M32">
        <v>3020</v>
      </c>
      <c r="N32">
        <v>27</v>
      </c>
      <c r="O32">
        <v>159.19999999999999</v>
      </c>
      <c r="P32">
        <v>25</v>
      </c>
      <c r="Q32">
        <v>1</v>
      </c>
    </row>
    <row r="33" spans="1:17" x14ac:dyDescent="0.35">
      <c r="A33" t="str">
        <f>LOWER(Table1[[#This Row],[position]]) &amp; "_" &amp; TEXT(DATE(Table1[[#This Row],[season]], 1, 1), "yyyy") &amp; "_" &amp; LOWER(_xlfn.TEXTAFTER(Table1[[#This Row],[player_name]], " ", -1))</f>
        <v>wr_2013_patterson</v>
      </c>
      <c r="B33" s="1" t="s">
        <v>239</v>
      </c>
      <c r="C33">
        <v>2013</v>
      </c>
      <c r="D33" s="1" t="s">
        <v>28</v>
      </c>
      <c r="E33" t="s">
        <v>62</v>
      </c>
      <c r="F33" cm="1">
        <f t="array" ref="F33">VALUE(INDEX(_xlfn.TEXTSPLIT(Table1[[#This Row],[player_id]], "_"), 2)) / Table1[[#This Row],[season]]</f>
        <v>1</v>
      </c>
      <c r="G33" s="1">
        <v>29</v>
      </c>
      <c r="H33" s="1">
        <v>22</v>
      </c>
      <c r="I33">
        <v>74</v>
      </c>
      <c r="J33">
        <v>220</v>
      </c>
      <c r="K33" s="1" t="s">
        <v>240</v>
      </c>
      <c r="L33">
        <v>12</v>
      </c>
      <c r="M33">
        <v>778</v>
      </c>
      <c r="N33">
        <v>5</v>
      </c>
      <c r="O33">
        <v>185.9</v>
      </c>
      <c r="P33">
        <v>29</v>
      </c>
      <c r="Q33">
        <v>1</v>
      </c>
    </row>
    <row r="34" spans="1:17" x14ac:dyDescent="0.35">
      <c r="A34" t="str">
        <f>LOWER(Table1[[#This Row],[position]]) &amp; "_" &amp; TEXT(DATE(Table1[[#This Row],[season]], 1, 1), "yyyy") &amp; "_" &amp; LOWER(_xlfn.TEXTAFTER(Table1[[#This Row],[player_name]], " ", -1))</f>
        <v>qb_2014_bortles</v>
      </c>
      <c r="B34" s="1" t="s">
        <v>225</v>
      </c>
      <c r="C34">
        <v>2014</v>
      </c>
      <c r="D34" s="1" t="s">
        <v>27</v>
      </c>
      <c r="E34" t="s">
        <v>84</v>
      </c>
      <c r="F34" cm="1">
        <f t="array" ref="F34">VALUE(INDEX(_xlfn.TEXTSPLIT(Table1[[#This Row],[player_id]], "_"), 2)) / Table1[[#This Row],[season]]</f>
        <v>1</v>
      </c>
      <c r="G34" s="1">
        <v>3</v>
      </c>
      <c r="H34" s="1">
        <v>22</v>
      </c>
      <c r="I34">
        <v>77</v>
      </c>
      <c r="J34">
        <v>236</v>
      </c>
      <c r="K34" s="1" t="s">
        <v>48</v>
      </c>
      <c r="L34">
        <v>37</v>
      </c>
      <c r="M34">
        <v>7598</v>
      </c>
      <c r="N34">
        <v>56</v>
      </c>
      <c r="O34">
        <v>200.9</v>
      </c>
      <c r="P34">
        <v>24</v>
      </c>
      <c r="Q34">
        <v>0</v>
      </c>
    </row>
    <row r="35" spans="1:17" x14ac:dyDescent="0.35">
      <c r="A35" t="str">
        <f>LOWER(Table1[[#This Row],[position]]) &amp; "_" &amp; TEXT(DATE(Table1[[#This Row],[season]], 1, 1), "yyyy") &amp; "_" &amp; LOWER(_xlfn.TEXTAFTER(Table1[[#This Row],[player_name]], " ", -1))</f>
        <v>wr_2014_watkins</v>
      </c>
      <c r="B35" s="1" t="s">
        <v>226</v>
      </c>
      <c r="C35">
        <v>2014</v>
      </c>
      <c r="D35" s="1" t="s">
        <v>28</v>
      </c>
      <c r="E35" t="s">
        <v>108</v>
      </c>
      <c r="F35" cm="1">
        <f t="array" ref="F35">VALUE(INDEX(_xlfn.TEXTSPLIT(Table1[[#This Row],[player_id]], "_"), 2)) / Table1[[#This Row],[season]]</f>
        <v>1</v>
      </c>
      <c r="G35" s="1">
        <v>4</v>
      </c>
      <c r="H35" s="1">
        <v>21</v>
      </c>
      <c r="I35">
        <v>73</v>
      </c>
      <c r="J35">
        <v>211</v>
      </c>
      <c r="K35" s="1" t="s">
        <v>92</v>
      </c>
      <c r="L35">
        <v>36</v>
      </c>
      <c r="M35">
        <v>3391</v>
      </c>
      <c r="N35">
        <v>27</v>
      </c>
      <c r="O35">
        <v>241.2</v>
      </c>
      <c r="P35">
        <v>23</v>
      </c>
      <c r="Q35">
        <v>1</v>
      </c>
    </row>
    <row r="36" spans="1:17" x14ac:dyDescent="0.35">
      <c r="A36" t="str">
        <f>LOWER(Table1[[#This Row],[position]]) &amp; "_" &amp; TEXT(DATE(Table1[[#This Row],[season]], 1, 1), "yyyy") &amp; "_" &amp; LOWER(_xlfn.TEXTAFTER(Table1[[#This Row],[player_name]], " ", -1))</f>
        <v>wr_2014_evans</v>
      </c>
      <c r="B36" s="1" t="s">
        <v>227</v>
      </c>
      <c r="C36">
        <v>2014</v>
      </c>
      <c r="D36" s="1" t="s">
        <v>28</v>
      </c>
      <c r="E36" t="s">
        <v>30</v>
      </c>
      <c r="F36" cm="1">
        <f t="array" ref="F36">VALUE(INDEX(_xlfn.TEXTSPLIT(Table1[[#This Row],[player_id]], "_"), 2)) / Table1[[#This Row],[season]]</f>
        <v>1</v>
      </c>
      <c r="G36" s="1">
        <v>7</v>
      </c>
      <c r="H36" s="1">
        <v>21</v>
      </c>
      <c r="I36">
        <v>77</v>
      </c>
      <c r="J36">
        <v>231</v>
      </c>
      <c r="K36" s="1" t="s">
        <v>224</v>
      </c>
      <c r="L36">
        <v>26</v>
      </c>
      <c r="M36">
        <v>2499</v>
      </c>
      <c r="N36">
        <v>17</v>
      </c>
      <c r="O36">
        <v>271.10000000000002</v>
      </c>
      <c r="P36">
        <v>13</v>
      </c>
      <c r="Q36">
        <v>1</v>
      </c>
    </row>
    <row r="37" spans="1:17" x14ac:dyDescent="0.35">
      <c r="A37" t="str">
        <f>LOWER(Table1[[#This Row],[position]]) &amp; "_" &amp; TEXT(DATE(Table1[[#This Row],[season]], 1, 1), "yyyy") &amp; "_" &amp; LOWER(_xlfn.TEXTAFTER(Table1[[#This Row],[player_name]], " ", -1))</f>
        <v>te_2014_ebron</v>
      </c>
      <c r="B37" s="1" t="s">
        <v>228</v>
      </c>
      <c r="C37">
        <v>2014</v>
      </c>
      <c r="D37" s="1" t="s">
        <v>83</v>
      </c>
      <c r="E37" t="s">
        <v>128</v>
      </c>
      <c r="F37" cm="1">
        <f t="array" ref="F37">VALUE(INDEX(_xlfn.TEXTSPLIT(Table1[[#This Row],[player_id]], "_"), 2)) / Table1[[#This Row],[season]]</f>
        <v>1</v>
      </c>
      <c r="G37" s="1">
        <v>10</v>
      </c>
      <c r="H37" s="1">
        <v>21</v>
      </c>
      <c r="I37">
        <v>76</v>
      </c>
      <c r="J37">
        <v>253</v>
      </c>
      <c r="K37" s="1" t="s">
        <v>89</v>
      </c>
      <c r="L37">
        <v>34</v>
      </c>
      <c r="M37">
        <v>1805</v>
      </c>
      <c r="N37">
        <v>8</v>
      </c>
      <c r="O37">
        <v>69.8</v>
      </c>
      <c r="P37">
        <v>29</v>
      </c>
      <c r="Q37">
        <v>0</v>
      </c>
    </row>
    <row r="38" spans="1:17" x14ac:dyDescent="0.35">
      <c r="A38" t="str">
        <f>LOWER(Table1[[#This Row],[position]]) &amp; "_" &amp; TEXT(DATE(Table1[[#This Row],[season]], 1, 1), "yyyy") &amp; "_" &amp; LOWER(_xlfn.TEXTAFTER(Table1[[#This Row],[player_name]], " ", -1))</f>
        <v>wr_2014_beckham-jr.</v>
      </c>
      <c r="B38" s="1" t="s">
        <v>233</v>
      </c>
      <c r="C38">
        <v>2014</v>
      </c>
      <c r="D38" s="1" t="s">
        <v>28</v>
      </c>
      <c r="E38" t="s">
        <v>88</v>
      </c>
      <c r="F38" cm="1">
        <f t="array" ref="F38">VALUE(INDEX(_xlfn.TEXTSPLIT(Table1[[#This Row],[player_id]], "_"), 2)) / Table1[[#This Row],[season]]</f>
        <v>1</v>
      </c>
      <c r="G38" s="1">
        <v>12</v>
      </c>
      <c r="H38" s="1">
        <v>21</v>
      </c>
      <c r="I38">
        <v>71</v>
      </c>
      <c r="J38">
        <v>200</v>
      </c>
      <c r="K38" s="1" t="s">
        <v>90</v>
      </c>
      <c r="L38">
        <v>40</v>
      </c>
      <c r="M38">
        <v>2340</v>
      </c>
      <c r="N38">
        <v>12</v>
      </c>
      <c r="O38">
        <v>295</v>
      </c>
      <c r="P38">
        <v>5</v>
      </c>
      <c r="Q38">
        <v>1</v>
      </c>
    </row>
    <row r="39" spans="1:17" x14ac:dyDescent="0.35">
      <c r="A39" t="str">
        <f>LOWER(Table1[[#This Row],[position]]) &amp; "_" &amp; TEXT(DATE(Table1[[#This Row],[season]], 1, 1), "yyyy") &amp; "_" &amp; LOWER(_xlfn.TEXTAFTER(Table1[[#This Row],[player_name]], " ", -1))</f>
        <v>wr_2014_cooks</v>
      </c>
      <c r="B39" s="1" t="s">
        <v>229</v>
      </c>
      <c r="C39">
        <v>2014</v>
      </c>
      <c r="D39" s="1" t="s">
        <v>28</v>
      </c>
      <c r="E39" t="s">
        <v>172</v>
      </c>
      <c r="F39" cm="1">
        <f t="array" ref="F39">VALUE(INDEX(_xlfn.TEXTSPLIT(Table1[[#This Row],[player_id]], "_"), 2)) / Table1[[#This Row],[season]]</f>
        <v>1</v>
      </c>
      <c r="G39" s="1">
        <v>20</v>
      </c>
      <c r="H39" s="1">
        <v>20</v>
      </c>
      <c r="I39">
        <v>70</v>
      </c>
      <c r="J39">
        <v>190</v>
      </c>
      <c r="K39" s="1" t="s">
        <v>234</v>
      </c>
      <c r="L39">
        <v>38</v>
      </c>
      <c r="M39">
        <v>3272</v>
      </c>
      <c r="N39">
        <v>24</v>
      </c>
      <c r="O39">
        <v>154</v>
      </c>
      <c r="P39">
        <v>43</v>
      </c>
      <c r="Q39">
        <v>0</v>
      </c>
    </row>
    <row r="40" spans="1:17" x14ac:dyDescent="0.35">
      <c r="A40" t="str">
        <f>LOWER(Table1[[#This Row],[position]]) &amp; "_" &amp; TEXT(DATE(Table1[[#This Row],[season]], 1, 1), "yyyy") &amp; "_" &amp; LOWER(_xlfn.TEXTAFTER(Table1[[#This Row],[player_name]], " ", -1))</f>
        <v>qb_2014_manziel</v>
      </c>
      <c r="B40" s="1" t="s">
        <v>230</v>
      </c>
      <c r="C40">
        <v>2014</v>
      </c>
      <c r="D40" s="1" t="s">
        <v>27</v>
      </c>
      <c r="E40" t="s">
        <v>59</v>
      </c>
      <c r="F40" cm="1">
        <f t="array" ref="F40">VALUE(INDEX(_xlfn.TEXTSPLIT(Table1[[#This Row],[player_id]], "_"), 2)) / Table1[[#This Row],[season]]</f>
        <v>1</v>
      </c>
      <c r="G40" s="1">
        <v>22</v>
      </c>
      <c r="H40" s="1">
        <v>21</v>
      </c>
      <c r="I40">
        <v>72</v>
      </c>
      <c r="J40">
        <v>207</v>
      </c>
      <c r="K40" s="1" t="s">
        <v>224</v>
      </c>
      <c r="L40">
        <v>26</v>
      </c>
      <c r="M40">
        <v>7820</v>
      </c>
      <c r="N40">
        <v>63</v>
      </c>
      <c r="O40">
        <v>29.9</v>
      </c>
      <c r="P40">
        <v>46</v>
      </c>
      <c r="Q40">
        <v>0</v>
      </c>
    </row>
    <row r="41" spans="1:17" x14ac:dyDescent="0.35">
      <c r="A41" t="str">
        <f>LOWER(Table1[[#This Row],[position]]) &amp; "_" &amp; TEXT(DATE(Table1[[#This Row],[season]], 1, 1), "yyyy") &amp; "_" &amp; LOWER(_xlfn.TEXTAFTER(Table1[[#This Row],[player_name]], " ", -1))</f>
        <v>wr_2014_benjamin</v>
      </c>
      <c r="B41" s="1" t="s">
        <v>231</v>
      </c>
      <c r="C41">
        <v>2014</v>
      </c>
      <c r="D41" s="1" t="s">
        <v>28</v>
      </c>
      <c r="E41" t="s">
        <v>85</v>
      </c>
      <c r="F41" cm="1">
        <f t="array" ref="F41">VALUE(INDEX(_xlfn.TEXTSPLIT(Table1[[#This Row],[player_id]], "_"), 2)) / Table1[[#This Row],[season]]</f>
        <v>1</v>
      </c>
      <c r="G41" s="1">
        <v>28</v>
      </c>
      <c r="H41" s="1">
        <v>23</v>
      </c>
      <c r="I41">
        <v>77</v>
      </c>
      <c r="J41">
        <v>245</v>
      </c>
      <c r="K41" s="1" t="s">
        <v>40</v>
      </c>
      <c r="L41">
        <v>28</v>
      </c>
      <c r="M41">
        <v>1506</v>
      </c>
      <c r="N41">
        <v>19</v>
      </c>
      <c r="O41">
        <v>250.8</v>
      </c>
      <c r="P41">
        <v>16</v>
      </c>
      <c r="Q41">
        <v>1</v>
      </c>
    </row>
    <row r="42" spans="1:17" x14ac:dyDescent="0.35">
      <c r="A42" t="str">
        <f>LOWER(Table1[[#This Row],[position]]) &amp; "_" &amp; TEXT(DATE(Table1[[#This Row],[season]], 1, 1), "yyyy") &amp; "_" &amp; LOWER(_xlfn.TEXTAFTER(Table1[[#This Row],[player_name]], " ", -1))</f>
        <v>qb_2014_bridgewater</v>
      </c>
      <c r="B42" s="1" t="s">
        <v>232</v>
      </c>
      <c r="C42">
        <v>2014</v>
      </c>
      <c r="D42" s="1" t="s">
        <v>27</v>
      </c>
      <c r="E42" t="s">
        <v>62</v>
      </c>
      <c r="F42" cm="1">
        <f t="array" ref="F42">VALUE(INDEX(_xlfn.TEXTSPLIT(Table1[[#This Row],[player_id]], "_"), 2)) / Table1[[#This Row],[season]]</f>
        <v>1</v>
      </c>
      <c r="G42" s="1">
        <v>32</v>
      </c>
      <c r="H42" s="1">
        <v>21</v>
      </c>
      <c r="I42">
        <v>74</v>
      </c>
      <c r="J42">
        <v>210</v>
      </c>
      <c r="K42" s="1" t="s">
        <v>45</v>
      </c>
      <c r="L42">
        <v>39</v>
      </c>
      <c r="M42">
        <v>9817</v>
      </c>
      <c r="N42">
        <v>72</v>
      </c>
      <c r="O42">
        <v>191.7</v>
      </c>
      <c r="P42">
        <v>25</v>
      </c>
      <c r="Q42">
        <v>0</v>
      </c>
    </row>
    <row r="43" spans="1:17" x14ac:dyDescent="0.35">
      <c r="A43" t="str">
        <f>LOWER(Table1[[#This Row],[position]]) &amp; "_" &amp; TEXT(DATE(Table1[[#This Row],[season]], 1, 1), "yyyy") &amp; "_" &amp; LOWER(_xlfn.TEXTAFTER(Table1[[#This Row],[player_name]], " ", -1))</f>
        <v>qb_2015_winston</v>
      </c>
      <c r="B43" s="1" t="s">
        <v>17</v>
      </c>
      <c r="C43">
        <v>2015</v>
      </c>
      <c r="D43" s="1" t="s">
        <v>27</v>
      </c>
      <c r="E43" t="s">
        <v>30</v>
      </c>
      <c r="F43" cm="1">
        <f t="array" ref="F43">VALUE(INDEX(_xlfn.TEXTSPLIT(Table1[[#This Row],[player_id]], "_"), 2)) / Table1[[#This Row],[season]]</f>
        <v>1</v>
      </c>
      <c r="G43">
        <v>1</v>
      </c>
      <c r="H43" s="1">
        <v>21</v>
      </c>
      <c r="I43">
        <v>76</v>
      </c>
      <c r="J43">
        <v>231</v>
      </c>
      <c r="K43" s="1" t="s">
        <v>40</v>
      </c>
      <c r="L43">
        <v>27</v>
      </c>
      <c r="M43">
        <v>7964</v>
      </c>
      <c r="N43">
        <v>65</v>
      </c>
      <c r="O43">
        <v>307.8</v>
      </c>
      <c r="P43">
        <v>13</v>
      </c>
      <c r="Q43">
        <v>0</v>
      </c>
    </row>
    <row r="44" spans="1:17" x14ac:dyDescent="0.35">
      <c r="A44" t="str">
        <f>LOWER(Table1[[#This Row],[position]]) &amp; "_" &amp; TEXT(DATE(Table1[[#This Row],[season]], 1, 1), "yyyy") &amp; "_" &amp; LOWER(_xlfn.TEXTAFTER(Table1[[#This Row],[player_name]], " ", -1))</f>
        <v>qb_2015_mariota</v>
      </c>
      <c r="B44" s="1" t="s">
        <v>18</v>
      </c>
      <c r="C44">
        <v>2015</v>
      </c>
      <c r="D44" s="1" t="s">
        <v>27</v>
      </c>
      <c r="E44" t="s">
        <v>31</v>
      </c>
      <c r="F44" cm="1">
        <f t="array" ref="F44">VALUE(INDEX(_xlfn.TEXTSPLIT(Table1[[#This Row],[player_id]], "_"), 2)) / Table1[[#This Row],[season]]</f>
        <v>1</v>
      </c>
      <c r="G44">
        <v>2</v>
      </c>
      <c r="H44" s="1">
        <v>21</v>
      </c>
      <c r="I44">
        <v>76</v>
      </c>
      <c r="J44">
        <v>222</v>
      </c>
      <c r="K44" s="1" t="s">
        <v>41</v>
      </c>
      <c r="L44">
        <v>41</v>
      </c>
      <c r="M44">
        <v>10796</v>
      </c>
      <c r="N44">
        <v>105</v>
      </c>
      <c r="O44">
        <v>228</v>
      </c>
      <c r="P44">
        <v>24</v>
      </c>
      <c r="Q44">
        <v>0</v>
      </c>
    </row>
    <row r="45" spans="1:17" x14ac:dyDescent="0.35">
      <c r="A45" t="str">
        <f>LOWER(Table1[[#This Row],[position]]) &amp; "_" &amp; TEXT(DATE(Table1[[#This Row],[season]], 1, 1), "yyyy") &amp; "_" &amp; LOWER(_xlfn.TEXTAFTER(Table1[[#This Row],[player_name]], " ", -1))</f>
        <v>wr_2015_cooper</v>
      </c>
      <c r="B45" s="1" t="s">
        <v>19</v>
      </c>
      <c r="C45">
        <v>2015</v>
      </c>
      <c r="D45" s="1" t="s">
        <v>28</v>
      </c>
      <c r="E45" t="s">
        <v>32</v>
      </c>
      <c r="F45" cm="1">
        <f t="array" ref="F45">VALUE(INDEX(_xlfn.TEXTSPLIT(Table1[[#This Row],[player_id]], "_"), 2)) / Table1[[#This Row],[season]]</f>
        <v>1</v>
      </c>
      <c r="G45">
        <v>4</v>
      </c>
      <c r="H45" s="1">
        <v>21</v>
      </c>
      <c r="I45">
        <v>73</v>
      </c>
      <c r="J45">
        <v>211</v>
      </c>
      <c r="K45" s="1" t="s">
        <v>42</v>
      </c>
      <c r="L45">
        <v>39</v>
      </c>
      <c r="M45">
        <v>3463</v>
      </c>
      <c r="N45">
        <v>31</v>
      </c>
      <c r="O45">
        <v>250</v>
      </c>
      <c r="P45">
        <v>21</v>
      </c>
      <c r="Q45">
        <v>1</v>
      </c>
    </row>
    <row r="46" spans="1:17" x14ac:dyDescent="0.35">
      <c r="A46" t="str">
        <f>LOWER(Table1[[#This Row],[position]]) &amp; "_" &amp; TEXT(DATE(Table1[[#This Row],[season]], 1, 1), "yyyy") &amp; "_" &amp; LOWER(_xlfn.TEXTAFTER(Table1[[#This Row],[player_name]], " ", -1))</f>
        <v>wr_2015_white</v>
      </c>
      <c r="B46" s="1" t="s">
        <v>20</v>
      </c>
      <c r="C46">
        <v>2015</v>
      </c>
      <c r="D46" s="1" t="s">
        <v>28</v>
      </c>
      <c r="E46" t="s">
        <v>33</v>
      </c>
      <c r="F46" cm="1">
        <f t="array" ref="F46">VALUE(INDEX(_xlfn.TEXTSPLIT(Table1[[#This Row],[player_id]], "_"), 2)) / Table1[[#This Row],[season]]</f>
        <v>1</v>
      </c>
      <c r="G46" s="1">
        <v>7</v>
      </c>
      <c r="H46" s="1">
        <v>23</v>
      </c>
      <c r="I46">
        <v>75</v>
      </c>
      <c r="J46">
        <v>216</v>
      </c>
      <c r="K46" s="1" t="s">
        <v>43</v>
      </c>
      <c r="L46">
        <v>23</v>
      </c>
      <c r="M46">
        <v>1954</v>
      </c>
      <c r="N46">
        <v>15</v>
      </c>
      <c r="O46">
        <v>0</v>
      </c>
      <c r="P46">
        <v>999</v>
      </c>
      <c r="Q46">
        <v>0</v>
      </c>
    </row>
    <row r="47" spans="1:17" x14ac:dyDescent="0.35">
      <c r="A47" t="str">
        <f>LOWER(Table1[[#This Row],[position]]) &amp; "_" &amp; TEXT(DATE(Table1[[#This Row],[season]], 1, 1), "yyyy") &amp; "_" &amp; LOWER(_xlfn.TEXTAFTER(Table1[[#This Row],[player_name]], " ", -1))</f>
        <v>rb_2015_gurley</v>
      </c>
      <c r="B47" s="1" t="s">
        <v>21</v>
      </c>
      <c r="C47">
        <v>2015</v>
      </c>
      <c r="D47" s="1" t="s">
        <v>29</v>
      </c>
      <c r="E47" t="s">
        <v>34</v>
      </c>
      <c r="F47" cm="1">
        <f t="array" ref="F47">VALUE(INDEX(_xlfn.TEXTSPLIT(Table1[[#This Row],[player_id]], "_"), 2)) / Table1[[#This Row],[season]]</f>
        <v>1</v>
      </c>
      <c r="G47" s="1">
        <v>10</v>
      </c>
      <c r="H47" s="1">
        <v>21</v>
      </c>
      <c r="I47">
        <v>73</v>
      </c>
      <c r="J47">
        <v>224</v>
      </c>
      <c r="K47" s="1" t="s">
        <v>44</v>
      </c>
      <c r="L47">
        <v>30</v>
      </c>
      <c r="M47">
        <v>3285</v>
      </c>
      <c r="N47">
        <v>36</v>
      </c>
      <c r="O47">
        <v>229.4</v>
      </c>
      <c r="P47">
        <v>9</v>
      </c>
      <c r="Q47">
        <v>1</v>
      </c>
    </row>
    <row r="48" spans="1:17" x14ac:dyDescent="0.35">
      <c r="A48" t="str">
        <f>LOWER(Table1[[#This Row],[position]]) &amp; "_" &amp; TEXT(DATE(Table1[[#This Row],[season]], 1, 1), "yyyy") &amp; "_" &amp; LOWER(_xlfn.TEXTAFTER(Table1[[#This Row],[player_name]], " ", -1))</f>
        <v>wr_2015_parker</v>
      </c>
      <c r="B48" s="1" t="s">
        <v>22</v>
      </c>
      <c r="C48">
        <v>2015</v>
      </c>
      <c r="D48" s="1" t="s">
        <v>28</v>
      </c>
      <c r="E48" t="s">
        <v>35</v>
      </c>
      <c r="F48" cm="1">
        <f t="array" ref="F48">VALUE(INDEX(_xlfn.TEXTSPLIT(Table1[[#This Row],[player_id]], "_"), 2)) / Table1[[#This Row],[season]]</f>
        <v>1</v>
      </c>
      <c r="G48" s="1">
        <v>14</v>
      </c>
      <c r="H48" s="1">
        <v>22</v>
      </c>
      <c r="I48">
        <v>75</v>
      </c>
      <c r="J48">
        <v>215</v>
      </c>
      <c r="K48" s="1" t="s">
        <v>45</v>
      </c>
      <c r="L48">
        <v>43</v>
      </c>
      <c r="M48">
        <v>2775</v>
      </c>
      <c r="N48">
        <v>33</v>
      </c>
      <c r="O48">
        <v>115.4</v>
      </c>
      <c r="P48">
        <v>58</v>
      </c>
      <c r="Q48">
        <v>0</v>
      </c>
    </row>
    <row r="49" spans="1:17" x14ac:dyDescent="0.35">
      <c r="A49" t="str">
        <f>LOWER(Table1[[#This Row],[position]]) &amp; "_" &amp; TEXT(DATE(Table1[[#This Row],[season]], 1, 1), "yyyy") &amp; "_" &amp; LOWER(_xlfn.TEXTAFTER(Table1[[#This Row],[player_name]], " ", -1))</f>
        <v>rb_2015_gordon</v>
      </c>
      <c r="B49" s="1" t="s">
        <v>23</v>
      </c>
      <c r="C49">
        <v>2015</v>
      </c>
      <c r="D49" s="1" t="s">
        <v>29</v>
      </c>
      <c r="E49" t="s">
        <v>36</v>
      </c>
      <c r="F49" cm="1">
        <f t="array" ref="F49">VALUE(INDEX(_xlfn.TEXTSPLIT(Table1[[#This Row],[player_id]], "_"), 2)) / Table1[[#This Row],[season]]</f>
        <v>1</v>
      </c>
      <c r="G49" s="1">
        <v>15</v>
      </c>
      <c r="H49" s="1">
        <v>22</v>
      </c>
      <c r="I49">
        <v>73</v>
      </c>
      <c r="J49">
        <v>215</v>
      </c>
      <c r="K49" s="1" t="s">
        <v>46</v>
      </c>
      <c r="L49">
        <v>45</v>
      </c>
      <c r="M49">
        <v>4915</v>
      </c>
      <c r="N49">
        <v>45</v>
      </c>
      <c r="O49">
        <v>110.7</v>
      </c>
      <c r="P49">
        <v>42</v>
      </c>
      <c r="Q49">
        <v>0</v>
      </c>
    </row>
    <row r="50" spans="1:17" x14ac:dyDescent="0.35">
      <c r="A50" t="str">
        <f>LOWER(Table1[[#This Row],[position]]) &amp; "_" &amp; TEXT(DATE(Table1[[#This Row],[season]], 1, 1), "yyyy") &amp; "_" &amp; LOWER(_xlfn.TEXTAFTER(Table1[[#This Row],[player_name]], " ", -1))</f>
        <v>wr_2015_agholor</v>
      </c>
      <c r="B50" s="1" t="s">
        <v>24</v>
      </c>
      <c r="C50">
        <v>2015</v>
      </c>
      <c r="D50" s="1" t="s">
        <v>28</v>
      </c>
      <c r="E50" t="s">
        <v>37</v>
      </c>
      <c r="F50" cm="1">
        <f t="array" ref="F50">VALUE(INDEX(_xlfn.TEXTSPLIT(Table1[[#This Row],[player_id]], "_"), 2)) / Table1[[#This Row],[season]]</f>
        <v>1</v>
      </c>
      <c r="G50" s="1">
        <v>20</v>
      </c>
      <c r="H50" s="1">
        <v>22</v>
      </c>
      <c r="I50">
        <v>72</v>
      </c>
      <c r="J50">
        <v>200</v>
      </c>
      <c r="K50" s="1" t="s">
        <v>47</v>
      </c>
      <c r="L50">
        <v>40</v>
      </c>
      <c r="M50">
        <v>2572</v>
      </c>
      <c r="N50">
        <v>20</v>
      </c>
      <c r="O50">
        <v>104.3</v>
      </c>
      <c r="P50">
        <v>61</v>
      </c>
      <c r="Q50">
        <v>0</v>
      </c>
    </row>
    <row r="51" spans="1:17" x14ac:dyDescent="0.35">
      <c r="A51" t="str">
        <f>LOWER(Table1[[#This Row],[position]]) &amp; "_" &amp; TEXT(DATE(Table1[[#This Row],[season]], 1, 1), "yyyy") &amp; "_" &amp; LOWER(_xlfn.TEXTAFTER(Table1[[#This Row],[player_name]], " ", -1))</f>
        <v>wr_2015_perriman</v>
      </c>
      <c r="B51" s="1" t="s">
        <v>25</v>
      </c>
      <c r="C51">
        <v>2015</v>
      </c>
      <c r="D51" s="1" t="s">
        <v>28</v>
      </c>
      <c r="E51" t="s">
        <v>38</v>
      </c>
      <c r="F51" cm="1">
        <f t="array" ref="F51">VALUE(INDEX(_xlfn.TEXTSPLIT(Table1[[#This Row],[player_id]], "_"), 2)) / Table1[[#This Row],[season]]</f>
        <v>1</v>
      </c>
      <c r="G51" s="1">
        <v>26</v>
      </c>
      <c r="H51" s="1">
        <v>21</v>
      </c>
      <c r="I51">
        <v>74</v>
      </c>
      <c r="J51">
        <v>215</v>
      </c>
      <c r="K51" s="1" t="s">
        <v>48</v>
      </c>
      <c r="L51">
        <v>39</v>
      </c>
      <c r="M51">
        <v>2243</v>
      </c>
      <c r="N51">
        <v>16</v>
      </c>
      <c r="O51">
        <v>0</v>
      </c>
      <c r="P51">
        <v>999</v>
      </c>
      <c r="Q51">
        <v>0</v>
      </c>
    </row>
    <row r="52" spans="1:17" x14ac:dyDescent="0.35">
      <c r="A52" t="str">
        <f>LOWER(Table1[[#This Row],[position]]) &amp; "_" &amp; TEXT(DATE(Table1[[#This Row],[season]], 1, 1), "yyyy") &amp; "_" &amp; LOWER(_xlfn.TEXTAFTER(Table1[[#This Row],[player_name]], " ", -1))</f>
        <v>wr_2015_dorsett</v>
      </c>
      <c r="B52" s="1" t="s">
        <v>26</v>
      </c>
      <c r="C52">
        <v>2015</v>
      </c>
      <c r="D52" s="1" t="s">
        <v>28</v>
      </c>
      <c r="E52" t="s">
        <v>39</v>
      </c>
      <c r="F52" cm="1">
        <f t="array" ref="F52">VALUE(INDEX(_xlfn.TEXTSPLIT(Table1[[#This Row],[player_id]], "_"), 2)) / Table1[[#This Row],[season]]</f>
        <v>1</v>
      </c>
      <c r="G52" s="1">
        <v>29</v>
      </c>
      <c r="H52" s="1">
        <v>22</v>
      </c>
      <c r="I52">
        <v>70</v>
      </c>
      <c r="J52">
        <v>185</v>
      </c>
      <c r="K52" s="1" t="s">
        <v>49</v>
      </c>
      <c r="L52">
        <v>44</v>
      </c>
      <c r="M52">
        <v>2132</v>
      </c>
      <c r="N52">
        <v>17</v>
      </c>
      <c r="O52">
        <v>76.5</v>
      </c>
      <c r="P52">
        <v>84</v>
      </c>
      <c r="Q52">
        <v>0</v>
      </c>
    </row>
    <row r="53" spans="1:17" x14ac:dyDescent="0.35">
      <c r="A53" t="str">
        <f>LOWER(Table1[[#This Row],[position]]) &amp; "_" &amp; TEXT(DATE(Table1[[#This Row],[season]], 1, 1), "yyyy") &amp; "_" &amp; LOWER(_xlfn.TEXTAFTER(Table1[[#This Row],[player_name]], " ", -1))</f>
        <v>qb_2016_goff</v>
      </c>
      <c r="B53" s="1" t="s">
        <v>50</v>
      </c>
      <c r="C53">
        <v>2016</v>
      </c>
      <c r="D53" s="1" t="s">
        <v>27</v>
      </c>
      <c r="E53" t="s">
        <v>34</v>
      </c>
      <c r="F53" cm="1">
        <f t="array" ref="F53">VALUE(INDEX(_xlfn.TEXTSPLIT(Table1[[#This Row],[player_id]], "_"), 2)) / Table1[[#This Row],[season]]</f>
        <v>1</v>
      </c>
      <c r="G53" s="1">
        <v>1</v>
      </c>
      <c r="H53" s="1">
        <v>21</v>
      </c>
      <c r="I53">
        <v>76</v>
      </c>
      <c r="J53">
        <v>217</v>
      </c>
      <c r="K53" s="1" t="s">
        <v>64</v>
      </c>
      <c r="L53">
        <v>37</v>
      </c>
      <c r="M53">
        <v>12200</v>
      </c>
      <c r="N53">
        <v>96</v>
      </c>
      <c r="O53">
        <v>44.8</v>
      </c>
      <c r="P53">
        <v>41</v>
      </c>
      <c r="Q53">
        <v>0</v>
      </c>
    </row>
    <row r="54" spans="1:17" x14ac:dyDescent="0.35">
      <c r="A54" t="str">
        <f>LOWER(Table1[[#This Row],[position]]) &amp; "_" &amp; TEXT(DATE(Table1[[#This Row],[season]], 1, 1), "yyyy") &amp; "_" &amp; LOWER(_xlfn.TEXTAFTER(Table1[[#This Row],[player_name]], " ", -1))</f>
        <v>qb_2016_wentz</v>
      </c>
      <c r="B54" s="1" t="s">
        <v>51</v>
      </c>
      <c r="C54">
        <v>2016</v>
      </c>
      <c r="D54" s="1" t="s">
        <v>27</v>
      </c>
      <c r="E54" t="s">
        <v>37</v>
      </c>
      <c r="F54" cm="1">
        <f t="array" ref="F54">VALUE(INDEX(_xlfn.TEXTSPLIT(Table1[[#This Row],[player_id]], "_"), 2)) / Table1[[#This Row],[season]]</f>
        <v>1</v>
      </c>
      <c r="G54" s="1">
        <v>2</v>
      </c>
      <c r="H54" s="1">
        <v>23</v>
      </c>
      <c r="I54">
        <v>77</v>
      </c>
      <c r="J54">
        <v>237</v>
      </c>
      <c r="K54" s="1" t="s">
        <v>65</v>
      </c>
      <c r="L54">
        <v>43</v>
      </c>
      <c r="M54">
        <v>2315</v>
      </c>
      <c r="N54">
        <v>45</v>
      </c>
      <c r="O54">
        <v>274.7</v>
      </c>
      <c r="P54">
        <v>24</v>
      </c>
      <c r="Q54">
        <v>0</v>
      </c>
    </row>
    <row r="55" spans="1:17" x14ac:dyDescent="0.35">
      <c r="A55" t="str">
        <f>LOWER(Table1[[#This Row],[position]]) &amp; "_" &amp; TEXT(DATE(Table1[[#This Row],[season]], 1, 1), "yyyy") &amp; "_" &amp; LOWER(_xlfn.TEXTAFTER(Table1[[#This Row],[player_name]], " ", -1))</f>
        <v>rb_2016_elliott</v>
      </c>
      <c r="B55" s="1" t="s">
        <v>52</v>
      </c>
      <c r="C55">
        <v>2016</v>
      </c>
      <c r="D55" s="1" t="s">
        <v>29</v>
      </c>
      <c r="E55" t="s">
        <v>58</v>
      </c>
      <c r="F55" cm="1">
        <f t="array" ref="F55">VALUE(INDEX(_xlfn.TEXTSPLIT(Table1[[#This Row],[player_id]], "_"), 2)) / Table1[[#This Row],[season]]</f>
        <v>1</v>
      </c>
      <c r="G55" s="1">
        <v>4</v>
      </c>
      <c r="H55" s="1">
        <v>21</v>
      </c>
      <c r="I55">
        <v>72</v>
      </c>
      <c r="J55">
        <v>228</v>
      </c>
      <c r="K55" s="1" t="s">
        <v>66</v>
      </c>
      <c r="L55">
        <v>35</v>
      </c>
      <c r="M55">
        <v>3961</v>
      </c>
      <c r="N55">
        <v>43</v>
      </c>
      <c r="O55">
        <v>325.39999999999998</v>
      </c>
      <c r="P55">
        <v>2</v>
      </c>
      <c r="Q55">
        <v>1</v>
      </c>
    </row>
    <row r="56" spans="1:17" x14ac:dyDescent="0.35">
      <c r="A56" t="str">
        <f>LOWER(Table1[[#This Row],[position]]) &amp; "_" &amp; TEXT(DATE(Table1[[#This Row],[season]], 1, 1), "yyyy") &amp; "_" &amp; LOWER(_xlfn.TEXTAFTER(Table1[[#This Row],[player_name]], " ", -1))</f>
        <v>wr_2016_coleman</v>
      </c>
      <c r="B56" s="1" t="s">
        <v>53</v>
      </c>
      <c r="C56">
        <v>2016</v>
      </c>
      <c r="D56" s="1" t="s">
        <v>28</v>
      </c>
      <c r="E56" t="s">
        <v>59</v>
      </c>
      <c r="F56" cm="1">
        <f t="array" ref="F56">VALUE(INDEX(_xlfn.TEXTSPLIT(Table1[[#This Row],[player_id]], "_"), 2)) / Table1[[#This Row],[season]]</f>
        <v>1</v>
      </c>
      <c r="G56" s="1">
        <v>15</v>
      </c>
      <c r="H56" s="1">
        <v>22</v>
      </c>
      <c r="I56">
        <v>71</v>
      </c>
      <c r="J56">
        <v>185</v>
      </c>
      <c r="K56" s="1" t="s">
        <v>67</v>
      </c>
      <c r="L56">
        <v>34</v>
      </c>
      <c r="M56">
        <v>3009</v>
      </c>
      <c r="N56">
        <v>33</v>
      </c>
      <c r="O56">
        <v>85.3</v>
      </c>
      <c r="P56">
        <v>78</v>
      </c>
      <c r="Q56">
        <v>0</v>
      </c>
    </row>
    <row r="57" spans="1:17" x14ac:dyDescent="0.35">
      <c r="A57" t="str">
        <f>LOWER(Table1[[#This Row],[position]]) &amp; "_" &amp; TEXT(DATE(Table1[[#This Row],[season]], 1, 1), "yyyy") &amp; "_" &amp; LOWER(_xlfn.TEXTAFTER(Table1[[#This Row],[player_name]], " ", -1))</f>
        <v>wr_2016_fuller</v>
      </c>
      <c r="B57" s="1" t="s">
        <v>54</v>
      </c>
      <c r="C57">
        <v>2016</v>
      </c>
      <c r="D57" s="1" t="s">
        <v>28</v>
      </c>
      <c r="E57" t="s">
        <v>60</v>
      </c>
      <c r="F57" cm="1">
        <f t="array" ref="F57">VALUE(INDEX(_xlfn.TEXTSPLIT(Table1[[#This Row],[player_id]], "_"), 2)) / Table1[[#This Row],[season]]</f>
        <v>1</v>
      </c>
      <c r="G57" s="1">
        <v>21</v>
      </c>
      <c r="H57" s="1">
        <v>22</v>
      </c>
      <c r="I57">
        <v>73</v>
      </c>
      <c r="J57">
        <v>184</v>
      </c>
      <c r="K57" s="1" t="s">
        <v>68</v>
      </c>
      <c r="L57">
        <v>32</v>
      </c>
      <c r="M57">
        <v>3512</v>
      </c>
      <c r="N57">
        <v>30</v>
      </c>
      <c r="O57">
        <v>176.5</v>
      </c>
      <c r="P57">
        <v>34</v>
      </c>
      <c r="Q57">
        <v>1</v>
      </c>
    </row>
    <row r="58" spans="1:17" x14ac:dyDescent="0.35">
      <c r="A58" t="str">
        <f>LOWER(Table1[[#This Row],[position]]) &amp; "_" &amp; TEXT(DATE(Table1[[#This Row],[season]], 1, 1), "yyyy") &amp; "_" &amp; LOWER(_xlfn.TEXTAFTER(Table1[[#This Row],[player_name]], " ", -1))</f>
        <v>wr_2016_doctson</v>
      </c>
      <c r="B58" s="1" t="s">
        <v>55</v>
      </c>
      <c r="C58">
        <v>2016</v>
      </c>
      <c r="D58" s="1" t="s">
        <v>28</v>
      </c>
      <c r="E58" t="s">
        <v>61</v>
      </c>
      <c r="F58" cm="1">
        <f t="array" ref="F58">VALUE(INDEX(_xlfn.TEXTSPLIT(Table1[[#This Row],[player_id]], "_"), 2)) / Table1[[#This Row],[season]]</f>
        <v>1</v>
      </c>
      <c r="G58" s="1">
        <v>22</v>
      </c>
      <c r="H58" s="1">
        <v>23</v>
      </c>
      <c r="I58">
        <v>74</v>
      </c>
      <c r="J58">
        <v>205</v>
      </c>
      <c r="K58" s="1" t="s">
        <v>69</v>
      </c>
      <c r="L58">
        <v>46</v>
      </c>
      <c r="M58">
        <v>3178</v>
      </c>
      <c r="N58">
        <v>34</v>
      </c>
      <c r="O58">
        <v>16.600000000000001</v>
      </c>
      <c r="P58">
        <v>156</v>
      </c>
      <c r="Q58">
        <v>0</v>
      </c>
    </row>
    <row r="59" spans="1:17" x14ac:dyDescent="0.35">
      <c r="A59" t="str">
        <f>LOWER(Table1[[#This Row],[position]]) &amp; "_" &amp; TEXT(DATE(Table1[[#This Row],[season]], 1, 1), "yyyy") &amp; "_" &amp; LOWER(_xlfn.TEXTAFTER(Table1[[#This Row],[player_name]], " ", -1))</f>
        <v>wr_2016_treadwell</v>
      </c>
      <c r="B59" s="1" t="s">
        <v>56</v>
      </c>
      <c r="C59">
        <v>2016</v>
      </c>
      <c r="D59" s="1" t="s">
        <v>28</v>
      </c>
      <c r="E59" t="s">
        <v>62</v>
      </c>
      <c r="F59" cm="1">
        <f t="array" ref="F59">VALUE(INDEX(_xlfn.TEXTSPLIT(Table1[[#This Row],[player_id]], "_"), 2)) / Table1[[#This Row],[season]]</f>
        <v>1</v>
      </c>
      <c r="G59" s="1">
        <v>23</v>
      </c>
      <c r="H59" s="1">
        <v>21</v>
      </c>
      <c r="I59">
        <v>74</v>
      </c>
      <c r="J59">
        <v>215</v>
      </c>
      <c r="K59" s="1" t="s">
        <v>70</v>
      </c>
      <c r="L59">
        <v>35</v>
      </c>
      <c r="M59">
        <v>2393</v>
      </c>
      <c r="N59">
        <v>21</v>
      </c>
      <c r="O59">
        <v>17.5</v>
      </c>
      <c r="P59">
        <v>151</v>
      </c>
      <c r="Q59">
        <v>0</v>
      </c>
    </row>
    <row r="60" spans="1:17" x14ac:dyDescent="0.35">
      <c r="A60" t="str">
        <f>LOWER(Table1[[#This Row],[position]]) &amp; "_" &amp; TEXT(DATE(Table1[[#This Row],[season]], 1, 1), "yyyy") &amp; "_" &amp; LOWER(_xlfn.TEXTAFTER(Table1[[#This Row],[player_name]], " ", -1))</f>
        <v>qb_2016_lynch</v>
      </c>
      <c r="B60" s="1" t="s">
        <v>57</v>
      </c>
      <c r="C60">
        <v>2016</v>
      </c>
      <c r="D60" s="1" t="s">
        <v>27</v>
      </c>
      <c r="E60" t="s">
        <v>63</v>
      </c>
      <c r="F60" cm="1">
        <f t="array" ref="F60">VALUE(INDEX(_xlfn.TEXTSPLIT(Table1[[#This Row],[player_id]], "_"), 2)) / Table1[[#This Row],[season]]</f>
        <v>1</v>
      </c>
      <c r="G60" s="1">
        <v>26</v>
      </c>
      <c r="H60" s="1">
        <v>22</v>
      </c>
      <c r="I60">
        <v>79</v>
      </c>
      <c r="J60">
        <v>244</v>
      </c>
      <c r="K60" s="1" t="s">
        <v>71</v>
      </c>
      <c r="L60">
        <v>38</v>
      </c>
      <c r="M60">
        <v>8863</v>
      </c>
      <c r="N60">
        <v>59</v>
      </c>
      <c r="O60">
        <v>27.9</v>
      </c>
      <c r="P60">
        <v>44</v>
      </c>
      <c r="Q60">
        <v>0</v>
      </c>
    </row>
    <row r="61" spans="1:17" x14ac:dyDescent="0.35">
      <c r="A61" t="str">
        <f>LOWER(Table1[[#This Row],[position]]) &amp; "_" &amp; TEXT(DATE(Table1[[#This Row],[season]], 1, 1), "yyyy") &amp; "_" &amp; LOWER(_xlfn.TEXTAFTER(Table1[[#This Row],[player_name]], " ", -1))</f>
        <v>qb_2017_trubisky</v>
      </c>
      <c r="B61" s="1" t="s">
        <v>72</v>
      </c>
      <c r="C61">
        <v>2017</v>
      </c>
      <c r="D61" s="1" t="s">
        <v>27</v>
      </c>
      <c r="E61" t="s">
        <v>33</v>
      </c>
      <c r="F61" cm="1">
        <f t="array" ref="F61">VALUE(INDEX(_xlfn.TEXTSPLIT(Table1[[#This Row],[player_id]], "_"), 2)) / Table1[[#This Row],[season]]</f>
        <v>1</v>
      </c>
      <c r="G61" s="1">
        <v>2</v>
      </c>
      <c r="H61" s="1">
        <v>23</v>
      </c>
      <c r="I61">
        <v>75</v>
      </c>
      <c r="J61">
        <v>222</v>
      </c>
      <c r="K61" s="1" t="s">
        <v>89</v>
      </c>
      <c r="L61">
        <v>34</v>
      </c>
      <c r="M61">
        <v>4762</v>
      </c>
      <c r="N61">
        <v>41</v>
      </c>
      <c r="O61">
        <v>174.7</v>
      </c>
      <c r="P61">
        <v>28</v>
      </c>
      <c r="Q61">
        <v>0</v>
      </c>
    </row>
    <row r="62" spans="1:17" x14ac:dyDescent="0.35">
      <c r="A62" t="str">
        <f>LOWER(Table1[[#This Row],[position]]) &amp; "_" &amp; TEXT(DATE(Table1[[#This Row],[season]], 1, 1), "yyyy") &amp; "_" &amp; LOWER(_xlfn.TEXTAFTER(Table1[[#This Row],[player_name]], " ", -1))</f>
        <v>rb_2017_fournette</v>
      </c>
      <c r="B62" s="1" t="s">
        <v>73</v>
      </c>
      <c r="C62">
        <v>2017</v>
      </c>
      <c r="D62" s="1" t="s">
        <v>29</v>
      </c>
      <c r="E62" t="s">
        <v>84</v>
      </c>
      <c r="F62" cm="1">
        <f t="array" ref="F62">VALUE(INDEX(_xlfn.TEXTSPLIT(Table1[[#This Row],[player_id]], "_"), 2)) / Table1[[#This Row],[season]]</f>
        <v>1</v>
      </c>
      <c r="G62" s="1">
        <v>4</v>
      </c>
      <c r="H62" s="1">
        <v>22</v>
      </c>
      <c r="I62">
        <v>72</v>
      </c>
      <c r="J62">
        <v>228</v>
      </c>
      <c r="K62" s="1" t="s">
        <v>90</v>
      </c>
      <c r="L62">
        <v>32</v>
      </c>
      <c r="M62">
        <v>3830</v>
      </c>
      <c r="N62">
        <v>40</v>
      </c>
      <c r="O62">
        <v>260.60000000000002</v>
      </c>
      <c r="P62">
        <v>8</v>
      </c>
      <c r="Q62">
        <v>1</v>
      </c>
    </row>
    <row r="63" spans="1:17" x14ac:dyDescent="0.35">
      <c r="A63" t="str">
        <f>LOWER(Table1[[#This Row],[position]]) &amp; "_" &amp; TEXT(DATE(Table1[[#This Row],[season]], 1, 1), "yyyy") &amp; "_" &amp; LOWER(_xlfn.TEXTAFTER(Table1[[#This Row],[player_name]], " ", -1))</f>
        <v>wr_2017_davis</v>
      </c>
      <c r="B63" s="1" t="s">
        <v>74</v>
      </c>
      <c r="C63">
        <v>2017</v>
      </c>
      <c r="D63" s="1" t="s">
        <v>28</v>
      </c>
      <c r="E63" t="s">
        <v>31</v>
      </c>
      <c r="F63" cm="1">
        <f t="array" ref="F63">VALUE(INDEX(_xlfn.TEXTSPLIT(Table1[[#This Row],[player_id]], "_"), 2)) / Table1[[#This Row],[season]]</f>
        <v>1</v>
      </c>
      <c r="G63" s="1">
        <v>5</v>
      </c>
      <c r="H63" s="1">
        <v>22</v>
      </c>
      <c r="I63">
        <v>75</v>
      </c>
      <c r="J63">
        <v>209</v>
      </c>
      <c r="K63" s="1" t="s">
        <v>91</v>
      </c>
      <c r="L63">
        <v>50</v>
      </c>
      <c r="M63">
        <v>5285</v>
      </c>
      <c r="N63">
        <v>52</v>
      </c>
      <c r="O63">
        <v>73.5</v>
      </c>
      <c r="P63">
        <v>90</v>
      </c>
      <c r="Q63">
        <v>0</v>
      </c>
    </row>
    <row r="64" spans="1:17" x14ac:dyDescent="0.35">
      <c r="A64" t="str">
        <f>LOWER(Table1[[#This Row],[position]]) &amp; "_" &amp; TEXT(DATE(Table1[[#This Row],[season]], 1, 1), "yyyy") &amp; "_" &amp; LOWER(_xlfn.TEXTAFTER(Table1[[#This Row],[player_name]], " ", -1))</f>
        <v>wr_2017_williams</v>
      </c>
      <c r="B64" s="1" t="s">
        <v>75</v>
      </c>
      <c r="C64">
        <v>2017</v>
      </c>
      <c r="D64" s="1" t="s">
        <v>28</v>
      </c>
      <c r="E64" t="s">
        <v>36</v>
      </c>
      <c r="F64" cm="1">
        <f t="array" ref="F64">VALUE(INDEX(_xlfn.TEXTSPLIT(Table1[[#This Row],[player_id]], "_"), 2)) / Table1[[#This Row],[season]]</f>
        <v>1</v>
      </c>
      <c r="G64" s="1">
        <v>7</v>
      </c>
      <c r="H64" s="1">
        <v>22</v>
      </c>
      <c r="I64">
        <v>76</v>
      </c>
      <c r="J64">
        <v>218</v>
      </c>
      <c r="K64" s="1" t="s">
        <v>92</v>
      </c>
      <c r="L64">
        <v>39</v>
      </c>
      <c r="M64">
        <v>2727</v>
      </c>
      <c r="N64">
        <v>21</v>
      </c>
      <c r="O64">
        <v>23.5</v>
      </c>
      <c r="P64">
        <v>146</v>
      </c>
      <c r="Q64">
        <v>0</v>
      </c>
    </row>
    <row r="65" spans="1:17" x14ac:dyDescent="0.35">
      <c r="A65" t="str">
        <f>LOWER(Table1[[#This Row],[position]]) &amp; "_" &amp; TEXT(DATE(Table1[[#This Row],[season]], 1, 1), "yyyy") &amp; "_" &amp; LOWER(_xlfn.TEXTAFTER(Table1[[#This Row],[player_name]], " ", -1))</f>
        <v>rb_2017_mccaffrey</v>
      </c>
      <c r="B65" s="1" t="s">
        <v>76</v>
      </c>
      <c r="C65">
        <v>2017</v>
      </c>
      <c r="D65" s="1" t="s">
        <v>29</v>
      </c>
      <c r="E65" t="s">
        <v>85</v>
      </c>
      <c r="F65" cm="1">
        <f t="array" ref="F65">VALUE(INDEX(_xlfn.TEXTSPLIT(Table1[[#This Row],[player_id]], "_"), 2)) / Table1[[#This Row],[season]]</f>
        <v>1</v>
      </c>
      <c r="G65" s="1">
        <v>8</v>
      </c>
      <c r="H65" s="1">
        <v>21</v>
      </c>
      <c r="I65">
        <v>71</v>
      </c>
      <c r="J65">
        <v>210</v>
      </c>
      <c r="K65" s="1" t="s">
        <v>93</v>
      </c>
      <c r="L65">
        <v>38</v>
      </c>
      <c r="M65">
        <v>3922</v>
      </c>
      <c r="N65">
        <v>21</v>
      </c>
      <c r="O65">
        <v>240.3</v>
      </c>
      <c r="P65">
        <v>11</v>
      </c>
      <c r="Q65">
        <v>1</v>
      </c>
    </row>
    <row r="66" spans="1:17" x14ac:dyDescent="0.35">
      <c r="A66" t="str">
        <f>LOWER(Table1[[#This Row],[position]]) &amp; "_" &amp; TEXT(DATE(Table1[[#This Row],[season]], 1, 1), "yyyy") &amp; "_" &amp; LOWER(_xlfn.TEXTAFTER(Table1[[#This Row],[player_name]], " ", -1))</f>
        <v>wr_2017_ross</v>
      </c>
      <c r="B66" s="1" t="s">
        <v>77</v>
      </c>
      <c r="C66">
        <v>2017</v>
      </c>
      <c r="D66" s="1" t="s">
        <v>28</v>
      </c>
      <c r="E66" t="s">
        <v>86</v>
      </c>
      <c r="F66" cm="1">
        <f t="array" ref="F66">VALUE(INDEX(_xlfn.TEXTSPLIT(Table1[[#This Row],[player_id]], "_"), 2)) / Table1[[#This Row],[season]]</f>
        <v>1</v>
      </c>
      <c r="G66" s="1">
        <v>9</v>
      </c>
      <c r="H66" s="1">
        <v>21</v>
      </c>
      <c r="I66">
        <v>71</v>
      </c>
      <c r="J66">
        <v>190</v>
      </c>
      <c r="K66" s="1" t="s">
        <v>94</v>
      </c>
      <c r="L66">
        <v>40</v>
      </c>
      <c r="M66">
        <v>1729</v>
      </c>
      <c r="N66">
        <v>22</v>
      </c>
      <c r="O66">
        <v>2.1</v>
      </c>
      <c r="P66">
        <v>221</v>
      </c>
      <c r="Q66">
        <v>0</v>
      </c>
    </row>
    <row r="67" spans="1:17" x14ac:dyDescent="0.35">
      <c r="A67" t="str">
        <f>LOWER(Table1[[#This Row],[position]]) &amp; "_" &amp; TEXT(DATE(Table1[[#This Row],[season]], 1, 1), "yyyy") &amp; "_" &amp; LOWER(_xlfn.TEXTAFTER(Table1[[#This Row],[player_name]], " ", -1))</f>
        <v>qb_2017_mahomes</v>
      </c>
      <c r="B67" s="1" t="s">
        <v>78</v>
      </c>
      <c r="C67">
        <v>2017</v>
      </c>
      <c r="D67" s="1" t="s">
        <v>27</v>
      </c>
      <c r="E67" t="s">
        <v>87</v>
      </c>
      <c r="F67" cm="1">
        <f t="array" ref="F67">VALUE(INDEX(_xlfn.TEXTSPLIT(Table1[[#This Row],[player_id]], "_"), 2)) / Table1[[#This Row],[season]]</f>
        <v>1</v>
      </c>
      <c r="G67" s="1">
        <v>10</v>
      </c>
      <c r="H67" s="1">
        <v>21</v>
      </c>
      <c r="I67">
        <v>74</v>
      </c>
      <c r="J67">
        <v>225</v>
      </c>
      <c r="K67" s="1" t="s">
        <v>95</v>
      </c>
      <c r="L67">
        <v>32</v>
      </c>
      <c r="M67">
        <v>11252</v>
      </c>
      <c r="N67">
        <v>93</v>
      </c>
      <c r="O67">
        <v>17.8</v>
      </c>
      <c r="P67">
        <v>59</v>
      </c>
      <c r="Q67">
        <v>0</v>
      </c>
    </row>
    <row r="68" spans="1:17" x14ac:dyDescent="0.35">
      <c r="A68" t="str">
        <f>LOWER(Table1[[#This Row],[position]]) &amp; "_" &amp; TEXT(DATE(Table1[[#This Row],[season]], 1, 1), "yyyy") &amp; "_" &amp; LOWER(_xlfn.TEXTAFTER(Table1[[#This Row],[player_name]], " ", -1))</f>
        <v>qb_2017_watson</v>
      </c>
      <c r="B68" s="1" t="s">
        <v>79</v>
      </c>
      <c r="C68">
        <v>2017</v>
      </c>
      <c r="D68" s="1" t="s">
        <v>27</v>
      </c>
      <c r="E68" t="s">
        <v>60</v>
      </c>
      <c r="F68" cm="1">
        <f t="array" ref="F68">VALUE(INDEX(_xlfn.TEXTSPLIT(Table1[[#This Row],[player_id]], "_"), 2)) / Table1[[#This Row],[season]]</f>
        <v>1</v>
      </c>
      <c r="G68" s="1">
        <v>12</v>
      </c>
      <c r="H68" s="1">
        <v>21</v>
      </c>
      <c r="I68">
        <v>75</v>
      </c>
      <c r="J68">
        <v>223</v>
      </c>
      <c r="K68" s="1" t="s">
        <v>92</v>
      </c>
      <c r="L68">
        <v>38</v>
      </c>
      <c r="M68">
        <v>10163</v>
      </c>
      <c r="N68">
        <v>90</v>
      </c>
      <c r="O68">
        <v>174.5</v>
      </c>
      <c r="P68">
        <v>28</v>
      </c>
      <c r="Q68">
        <v>0</v>
      </c>
    </row>
    <row r="69" spans="1:17" x14ac:dyDescent="0.35">
      <c r="A69" t="str">
        <f>LOWER(Table1[[#This Row],[position]]) &amp; "_" &amp; TEXT(DATE(Table1[[#This Row],[season]], 1, 1), "yyyy") &amp; "_" &amp; LOWER(_xlfn.TEXTAFTER(Table1[[#This Row],[player_name]], " ", -1))</f>
        <v>te_2017_howard</v>
      </c>
      <c r="B69" s="1" t="s">
        <v>80</v>
      </c>
      <c r="C69">
        <v>2017</v>
      </c>
      <c r="D69" s="1" t="s">
        <v>83</v>
      </c>
      <c r="E69" t="s">
        <v>30</v>
      </c>
      <c r="F69" cm="1">
        <f t="array" ref="F69">VALUE(INDEX(_xlfn.TEXTSPLIT(Table1[[#This Row],[player_id]], "_"), 2)) / Table1[[#This Row],[season]]</f>
        <v>1</v>
      </c>
      <c r="G69" s="1">
        <v>19</v>
      </c>
      <c r="H69" s="1">
        <v>22</v>
      </c>
      <c r="I69">
        <v>78</v>
      </c>
      <c r="J69">
        <v>251</v>
      </c>
      <c r="K69" s="1" t="s">
        <v>42</v>
      </c>
      <c r="L69">
        <v>54</v>
      </c>
      <c r="M69">
        <v>1726</v>
      </c>
      <c r="N69">
        <v>7</v>
      </c>
      <c r="O69">
        <v>122.2</v>
      </c>
      <c r="P69">
        <v>10</v>
      </c>
      <c r="Q69">
        <v>1</v>
      </c>
    </row>
    <row r="70" spans="1:17" x14ac:dyDescent="0.35">
      <c r="A70" t="str">
        <f>LOWER(Table1[[#This Row],[position]]) &amp; "_" &amp; TEXT(DATE(Table1[[#This Row],[season]], 1, 1), "yyyy") &amp; "_" &amp; LOWER(_xlfn.TEXTAFTER(Table1[[#This Row],[player_name]], " ", -1))</f>
        <v>te_2017_engram</v>
      </c>
      <c r="B70" s="1" t="s">
        <v>81</v>
      </c>
      <c r="C70">
        <v>2017</v>
      </c>
      <c r="D70" s="1" t="s">
        <v>83</v>
      </c>
      <c r="E70" t="s">
        <v>88</v>
      </c>
      <c r="F70" cm="1">
        <f t="array" ref="F70">VALUE(INDEX(_xlfn.TEXTSPLIT(Table1[[#This Row],[player_id]], "_"), 2)) / Table1[[#This Row],[season]]</f>
        <v>1</v>
      </c>
      <c r="G70" s="1">
        <v>23</v>
      </c>
      <c r="H70" s="1">
        <v>23</v>
      </c>
      <c r="I70">
        <v>75</v>
      </c>
      <c r="J70">
        <v>240</v>
      </c>
      <c r="K70" s="1" t="s">
        <v>70</v>
      </c>
      <c r="L70">
        <v>45</v>
      </c>
      <c r="M70">
        <v>2320</v>
      </c>
      <c r="N70">
        <v>15</v>
      </c>
      <c r="O70">
        <v>173.6</v>
      </c>
      <c r="P70">
        <v>5</v>
      </c>
      <c r="Q70">
        <v>1</v>
      </c>
    </row>
    <row r="71" spans="1:17" x14ac:dyDescent="0.35">
      <c r="A71" t="str">
        <f>LOWER(Table1[[#This Row],[position]]) &amp; "_" &amp; TEXT(DATE(Table1[[#This Row],[season]], 1, 1), "yyyy") &amp; "_" &amp; LOWER(_xlfn.TEXTAFTER(Table1[[#This Row],[player_name]], " ", -1))</f>
        <v>te_2017_njoku</v>
      </c>
      <c r="B71" s="1" t="s">
        <v>82</v>
      </c>
      <c r="C71">
        <v>2017</v>
      </c>
      <c r="D71" s="1" t="s">
        <v>83</v>
      </c>
      <c r="E71" t="s">
        <v>59</v>
      </c>
      <c r="F71" cm="1">
        <f t="array" ref="F71">VALUE(INDEX(_xlfn.TEXTSPLIT(Table1[[#This Row],[player_id]], "_"), 2)) / Table1[[#This Row],[season]]</f>
        <v>1</v>
      </c>
      <c r="G71" s="1">
        <v>29</v>
      </c>
      <c r="H71" s="1">
        <v>21</v>
      </c>
      <c r="I71">
        <v>76</v>
      </c>
      <c r="J71">
        <v>246</v>
      </c>
      <c r="K71" s="1" t="s">
        <v>49</v>
      </c>
      <c r="L71">
        <v>26</v>
      </c>
      <c r="M71">
        <v>1060</v>
      </c>
      <c r="N71">
        <v>9</v>
      </c>
      <c r="O71">
        <v>92.6</v>
      </c>
      <c r="P71">
        <v>21</v>
      </c>
      <c r="Q71">
        <v>0</v>
      </c>
    </row>
    <row r="72" spans="1:17" x14ac:dyDescent="0.35">
      <c r="A72" t="str">
        <f>LOWER(Table1[[#This Row],[position]]) &amp; "_" &amp; TEXT(DATE(Table1[[#This Row],[season]], 1, 1), "yyyy") &amp; "_" &amp; LOWER(_xlfn.TEXTAFTER(Table1[[#This Row],[player_name]], " ", -1))</f>
        <v>qb_2018_mayfield</v>
      </c>
      <c r="B72" s="1" t="s">
        <v>96</v>
      </c>
      <c r="C72">
        <v>2018</v>
      </c>
      <c r="D72" s="1" t="s">
        <v>27</v>
      </c>
      <c r="E72" t="s">
        <v>59</v>
      </c>
      <c r="F72" cm="1">
        <f t="array" ref="F72">VALUE(INDEX(_xlfn.TEXTSPLIT(Table1[[#This Row],[player_id]], "_"), 2)) / Table1[[#This Row],[season]]</f>
        <v>1</v>
      </c>
      <c r="G72" s="1">
        <v>1</v>
      </c>
      <c r="H72" s="1">
        <v>23</v>
      </c>
      <c r="I72">
        <v>73</v>
      </c>
      <c r="J72">
        <v>215</v>
      </c>
      <c r="K72" s="1" t="s">
        <v>113</v>
      </c>
      <c r="L72">
        <v>48</v>
      </c>
      <c r="M72">
        <v>14607</v>
      </c>
      <c r="N72">
        <v>131</v>
      </c>
      <c r="O72">
        <v>295.3</v>
      </c>
      <c r="P72">
        <v>16</v>
      </c>
      <c r="Q72">
        <v>0</v>
      </c>
    </row>
    <row r="73" spans="1:17" x14ac:dyDescent="0.35">
      <c r="A73" t="str">
        <f>LOWER(Table1[[#This Row],[position]]) &amp; "_" &amp; TEXT(DATE(Table1[[#This Row],[season]], 1, 1), "yyyy") &amp; "_" &amp; LOWER(_xlfn.TEXTAFTER(Table1[[#This Row],[player_name]], " ", -1))</f>
        <v>rb_2018_barkley</v>
      </c>
      <c r="B73" s="1" t="s">
        <v>97</v>
      </c>
      <c r="C73">
        <v>2018</v>
      </c>
      <c r="D73" s="1" t="s">
        <v>29</v>
      </c>
      <c r="E73" t="s">
        <v>88</v>
      </c>
      <c r="F73" cm="1">
        <f t="array" ref="F73">VALUE(INDEX(_xlfn.TEXTSPLIT(Table1[[#This Row],[player_id]], "_"), 2)) / Table1[[#This Row],[season]]</f>
        <v>1</v>
      </c>
      <c r="G73" s="1">
        <v>2</v>
      </c>
      <c r="H73" s="1">
        <v>21</v>
      </c>
      <c r="I73">
        <v>72</v>
      </c>
      <c r="J73">
        <v>233</v>
      </c>
      <c r="K73" s="1" t="s">
        <v>114</v>
      </c>
      <c r="L73">
        <v>38</v>
      </c>
      <c r="M73">
        <v>3843</v>
      </c>
      <c r="N73">
        <v>43</v>
      </c>
      <c r="O73">
        <v>385.8</v>
      </c>
      <c r="P73">
        <v>1</v>
      </c>
      <c r="Q73">
        <v>1</v>
      </c>
    </row>
    <row r="74" spans="1:17" x14ac:dyDescent="0.35">
      <c r="A74" t="str">
        <f>LOWER(Table1[[#This Row],[position]]) &amp; "_" &amp; TEXT(DATE(Table1[[#This Row],[season]], 1, 1), "yyyy") &amp; "_" &amp; LOWER(_xlfn.TEXTAFTER(Table1[[#This Row],[player_name]], " ", -1))</f>
        <v>qb_2018_darnold</v>
      </c>
      <c r="B74" s="1" t="s">
        <v>98</v>
      </c>
      <c r="C74">
        <v>2018</v>
      </c>
      <c r="D74" s="1" t="s">
        <v>27</v>
      </c>
      <c r="E74" t="s">
        <v>107</v>
      </c>
      <c r="F74" cm="1">
        <f t="array" ref="F74">VALUE(INDEX(_xlfn.TEXTSPLIT(Table1[[#This Row],[player_id]], "_"), 2)) / Table1[[#This Row],[season]]</f>
        <v>1</v>
      </c>
      <c r="G74" s="1">
        <v>3</v>
      </c>
      <c r="H74" s="1">
        <v>21</v>
      </c>
      <c r="I74">
        <v>75</v>
      </c>
      <c r="J74">
        <v>225</v>
      </c>
      <c r="K74" s="1" t="s">
        <v>47</v>
      </c>
      <c r="L74">
        <v>27</v>
      </c>
      <c r="M74">
        <v>7229</v>
      </c>
      <c r="N74">
        <v>57</v>
      </c>
      <c r="O74">
        <v>214.1</v>
      </c>
      <c r="P74">
        <v>29</v>
      </c>
      <c r="Q74">
        <v>0</v>
      </c>
    </row>
    <row r="75" spans="1:17" x14ac:dyDescent="0.35">
      <c r="A75" t="str">
        <f>LOWER(Table1[[#This Row],[position]]) &amp; "_" &amp; TEXT(DATE(Table1[[#This Row],[season]], 1, 1), "yyyy") &amp; "_" &amp; LOWER(_xlfn.TEXTAFTER(Table1[[#This Row],[player_name]], " ", -1))</f>
        <v>qb_2018_allen</v>
      </c>
      <c r="B75" s="1" t="s">
        <v>99</v>
      </c>
      <c r="C75">
        <v>2018</v>
      </c>
      <c r="D75" s="1" t="s">
        <v>27</v>
      </c>
      <c r="E75" t="s">
        <v>108</v>
      </c>
      <c r="F75" cm="1">
        <f t="array" ref="F75">VALUE(INDEX(_xlfn.TEXTSPLIT(Table1[[#This Row],[player_id]], "_"), 2)) / Table1[[#This Row],[season]]</f>
        <v>1</v>
      </c>
      <c r="G75" s="1">
        <v>7</v>
      </c>
      <c r="H75" s="1">
        <v>22</v>
      </c>
      <c r="I75">
        <v>77</v>
      </c>
      <c r="J75">
        <v>237</v>
      </c>
      <c r="K75" s="1" t="s">
        <v>115</v>
      </c>
      <c r="L75">
        <v>27</v>
      </c>
      <c r="M75">
        <v>5066</v>
      </c>
      <c r="N75">
        <v>44</v>
      </c>
      <c r="O75">
        <v>297.60000000000002</v>
      </c>
      <c r="P75">
        <v>15</v>
      </c>
      <c r="Q75">
        <v>0</v>
      </c>
    </row>
    <row r="76" spans="1:17" x14ac:dyDescent="0.35">
      <c r="A76" t="str">
        <f>LOWER(Table1[[#This Row],[position]]) &amp; "_" &amp; TEXT(DATE(Table1[[#This Row],[season]], 1, 1), "yyyy") &amp; "_" &amp; LOWER(_xlfn.TEXTAFTER(Table1[[#This Row],[player_name]], " ", -1))</f>
        <v>qb_2018_rosen</v>
      </c>
      <c r="B76" s="1" t="s">
        <v>100</v>
      </c>
      <c r="C76">
        <v>2018</v>
      </c>
      <c r="D76" s="1" t="s">
        <v>27</v>
      </c>
      <c r="E76" t="s">
        <v>109</v>
      </c>
      <c r="F76" cm="1">
        <f t="array" ref="F76">VALUE(INDEX(_xlfn.TEXTSPLIT(Table1[[#This Row],[player_id]], "_"), 2)) / Table1[[#This Row],[season]]</f>
        <v>1</v>
      </c>
      <c r="G76" s="1">
        <v>10</v>
      </c>
      <c r="H76" s="1">
        <v>21</v>
      </c>
      <c r="I76">
        <v>76</v>
      </c>
      <c r="J76">
        <v>226</v>
      </c>
      <c r="K76" s="1" t="s">
        <v>116</v>
      </c>
      <c r="L76">
        <v>30</v>
      </c>
      <c r="M76">
        <v>1170</v>
      </c>
      <c r="N76">
        <v>59</v>
      </c>
      <c r="O76">
        <v>120.2</v>
      </c>
      <c r="P76">
        <v>35</v>
      </c>
      <c r="Q76">
        <v>0</v>
      </c>
    </row>
    <row r="77" spans="1:17" x14ac:dyDescent="0.35">
      <c r="A77" t="str">
        <f>LOWER(Table1[[#This Row],[position]]) &amp; "_" &amp; TEXT(DATE(Table1[[#This Row],[season]], 1, 1), "yyyy") &amp; "_" &amp; LOWER(_xlfn.TEXTAFTER(Table1[[#This Row],[player_name]], " ", -1))</f>
        <v>wr_2018_moore</v>
      </c>
      <c r="B77" s="1" t="s">
        <v>101</v>
      </c>
      <c r="C77">
        <v>2018</v>
      </c>
      <c r="D77" s="1" t="s">
        <v>28</v>
      </c>
      <c r="E77" t="s">
        <v>85</v>
      </c>
      <c r="F77" cm="1">
        <f t="array" ref="F77">VALUE(INDEX(_xlfn.TEXTSPLIT(Table1[[#This Row],[player_id]], "_"), 2)) / Table1[[#This Row],[season]]</f>
        <v>1</v>
      </c>
      <c r="G77" s="1">
        <v>24</v>
      </c>
      <c r="H77" s="1">
        <v>21</v>
      </c>
      <c r="I77">
        <v>72</v>
      </c>
      <c r="J77">
        <v>213</v>
      </c>
      <c r="K77" s="1" t="s">
        <v>117</v>
      </c>
      <c r="L77">
        <v>37</v>
      </c>
      <c r="M77">
        <v>2027</v>
      </c>
      <c r="N77">
        <v>17</v>
      </c>
      <c r="O77">
        <v>173.8</v>
      </c>
      <c r="P77">
        <v>39</v>
      </c>
      <c r="Q77">
        <v>0</v>
      </c>
    </row>
    <row r="78" spans="1:17" x14ac:dyDescent="0.35">
      <c r="A78" t="str">
        <f>LOWER(Table1[[#This Row],[position]]) &amp; "_" &amp; TEXT(DATE(Table1[[#This Row],[season]], 1, 1), "yyyy") &amp; "_" &amp; LOWER(_xlfn.TEXTAFTER(Table1[[#This Row],[player_name]], " ", -1))</f>
        <v>te_2018_hurst</v>
      </c>
      <c r="B78" s="1" t="s">
        <v>102</v>
      </c>
      <c r="C78">
        <v>2018</v>
      </c>
      <c r="D78" s="1" t="s">
        <v>83</v>
      </c>
      <c r="E78" t="s">
        <v>38</v>
      </c>
      <c r="F78" cm="1">
        <f t="array" ref="F78">VALUE(INDEX(_xlfn.TEXTSPLIT(Table1[[#This Row],[player_id]], "_"), 2)) / Table1[[#This Row],[season]]</f>
        <v>1</v>
      </c>
      <c r="G78" s="1">
        <v>25</v>
      </c>
      <c r="H78" s="1">
        <v>25</v>
      </c>
      <c r="I78">
        <v>76</v>
      </c>
      <c r="J78">
        <v>245</v>
      </c>
      <c r="K78" s="1" t="s">
        <v>118</v>
      </c>
      <c r="L78">
        <v>38</v>
      </c>
      <c r="M78">
        <v>1281</v>
      </c>
      <c r="N78">
        <v>3</v>
      </c>
      <c r="O78">
        <v>33.299999999999997</v>
      </c>
      <c r="P78">
        <v>52</v>
      </c>
      <c r="Q78">
        <v>0</v>
      </c>
    </row>
    <row r="79" spans="1:17" x14ac:dyDescent="0.35">
      <c r="A79" t="str">
        <f>LOWER(Table1[[#This Row],[position]]) &amp; "_" &amp; TEXT(DATE(Table1[[#This Row],[season]], 1, 1), "yyyy") &amp; "_" &amp; LOWER(_xlfn.TEXTAFTER(Table1[[#This Row],[player_name]], " ", -1))</f>
        <v>wr_2018_ridley</v>
      </c>
      <c r="B79" s="1" t="s">
        <v>103</v>
      </c>
      <c r="C79">
        <v>2018</v>
      </c>
      <c r="D79" s="1" t="s">
        <v>28</v>
      </c>
      <c r="E79" t="s">
        <v>110</v>
      </c>
      <c r="F79" cm="1">
        <f t="array" ref="F79">VALUE(INDEX(_xlfn.TEXTSPLIT(Table1[[#This Row],[player_id]], "_"), 2)) / Table1[[#This Row],[season]]</f>
        <v>1</v>
      </c>
      <c r="G79" s="1">
        <v>26</v>
      </c>
      <c r="H79" s="1">
        <v>23</v>
      </c>
      <c r="I79">
        <v>73</v>
      </c>
      <c r="J79">
        <v>190</v>
      </c>
      <c r="K79" s="1" t="s">
        <v>42</v>
      </c>
      <c r="L79">
        <v>44</v>
      </c>
      <c r="M79">
        <v>2781</v>
      </c>
      <c r="N79">
        <v>19</v>
      </c>
      <c r="O79">
        <v>218.1</v>
      </c>
      <c r="P79">
        <v>18</v>
      </c>
      <c r="Q79">
        <v>1</v>
      </c>
    </row>
    <row r="80" spans="1:17" x14ac:dyDescent="0.35">
      <c r="A80" t="str">
        <f>LOWER(Table1[[#This Row],[position]]) &amp; "_" &amp; TEXT(DATE(Table1[[#This Row],[season]], 1, 1), "yyyy") &amp; "_" &amp; LOWER(_xlfn.TEXTAFTER(Table1[[#This Row],[player_name]], " ", -1))</f>
        <v>rb_2018_penny</v>
      </c>
      <c r="B80" s="1" t="s">
        <v>104</v>
      </c>
      <c r="C80">
        <v>2018</v>
      </c>
      <c r="D80" s="1" t="s">
        <v>29</v>
      </c>
      <c r="E80" t="s">
        <v>111</v>
      </c>
      <c r="F80" cm="1">
        <f t="array" ref="F80">VALUE(INDEX(_xlfn.TEXTSPLIT(Table1[[#This Row],[player_id]], "_"), 2)) / Table1[[#This Row],[season]]</f>
        <v>1</v>
      </c>
      <c r="G80" s="1">
        <v>27</v>
      </c>
      <c r="H80" s="1">
        <v>22</v>
      </c>
      <c r="I80">
        <v>71</v>
      </c>
      <c r="J80">
        <v>220</v>
      </c>
      <c r="K80" s="1" t="s">
        <v>119</v>
      </c>
      <c r="L80">
        <v>54</v>
      </c>
      <c r="M80">
        <v>3656</v>
      </c>
      <c r="N80">
        <v>38</v>
      </c>
      <c r="O80">
        <v>92.7</v>
      </c>
      <c r="P80">
        <v>47</v>
      </c>
      <c r="Q80">
        <v>0</v>
      </c>
    </row>
    <row r="81" spans="1:17" x14ac:dyDescent="0.35">
      <c r="A81" t="str">
        <f>LOWER(Table1[[#This Row],[position]]) &amp; "_" &amp; TEXT(DATE(Table1[[#This Row],[season]], 1, 1), "yyyy") &amp; "_" &amp; LOWER(_xlfn.TEXTAFTER(Table1[[#This Row],[player_name]], " ", -1))</f>
        <v>rb_2018_michel</v>
      </c>
      <c r="B81" s="1" t="s">
        <v>105</v>
      </c>
      <c r="C81">
        <v>2018</v>
      </c>
      <c r="D81" s="1" t="s">
        <v>29</v>
      </c>
      <c r="E81" t="s">
        <v>112</v>
      </c>
      <c r="F81" cm="1">
        <f t="array" ref="F81">VALUE(INDEX(_xlfn.TEXTSPLIT(Table1[[#This Row],[player_id]], "_"), 2)) / Table1[[#This Row],[season]]</f>
        <v>1</v>
      </c>
      <c r="G81" s="1">
        <v>31</v>
      </c>
      <c r="H81" s="1">
        <v>23</v>
      </c>
      <c r="I81">
        <v>71</v>
      </c>
      <c r="J81">
        <v>215</v>
      </c>
      <c r="K81" s="1" t="s">
        <v>44</v>
      </c>
      <c r="L81">
        <v>47</v>
      </c>
      <c r="M81">
        <v>3638</v>
      </c>
      <c r="N81">
        <v>33</v>
      </c>
      <c r="O81">
        <v>209.1</v>
      </c>
      <c r="P81">
        <v>19</v>
      </c>
      <c r="Q81">
        <v>1</v>
      </c>
    </row>
    <row r="82" spans="1:17" x14ac:dyDescent="0.35">
      <c r="A82" t="str">
        <f>LOWER(Table1[[#This Row],[position]]) &amp; "_" &amp; TEXT(DATE(Table1[[#This Row],[season]], 1, 1), "yyyy") &amp; "_" &amp; LOWER(_xlfn.TEXTAFTER(Table1[[#This Row],[player_name]], " ", -1))</f>
        <v>qb_2018_jackson</v>
      </c>
      <c r="B82" s="1" t="s">
        <v>106</v>
      </c>
      <c r="C82">
        <v>2018</v>
      </c>
      <c r="D82" s="1" t="s">
        <v>27</v>
      </c>
      <c r="E82" t="s">
        <v>38</v>
      </c>
      <c r="F82" cm="1">
        <f t="array" ref="F82">VALUE(INDEX(_xlfn.TEXTSPLIT(Table1[[#This Row],[player_id]], "_"), 2)) / Table1[[#This Row],[season]]</f>
        <v>1</v>
      </c>
      <c r="G82" s="1">
        <v>32</v>
      </c>
      <c r="H82" s="1">
        <v>21</v>
      </c>
      <c r="I82">
        <v>74</v>
      </c>
      <c r="J82">
        <v>205</v>
      </c>
      <c r="K82" s="1" t="s">
        <v>45</v>
      </c>
      <c r="L82">
        <v>38</v>
      </c>
      <c r="M82">
        <v>9043</v>
      </c>
      <c r="N82">
        <v>69</v>
      </c>
      <c r="O82">
        <v>166.1</v>
      </c>
      <c r="P82">
        <v>29</v>
      </c>
      <c r="Q82">
        <v>0</v>
      </c>
    </row>
    <row r="83" spans="1:17" x14ac:dyDescent="0.35">
      <c r="A83" t="str">
        <f>LOWER(Table1[[#This Row],[position]]) &amp; "_" &amp; TEXT(DATE(Table1[[#This Row],[season]], 1, 1), "yyyy") &amp; "_" &amp; LOWER(_xlfn.TEXTAFTER(Table1[[#This Row],[player_name]], " ", -1))</f>
        <v>qb_2019_murray</v>
      </c>
      <c r="B83" s="1" t="s">
        <v>120</v>
      </c>
      <c r="C83">
        <v>2019</v>
      </c>
      <c r="D83" s="1" t="s">
        <v>27</v>
      </c>
      <c r="E83" t="s">
        <v>109</v>
      </c>
      <c r="F83" cm="1">
        <f t="array" ref="F83">VALUE(INDEX(_xlfn.TEXTSPLIT(Table1[[#This Row],[player_id]], "_"), 2)) / Table1[[#This Row],[season]]</f>
        <v>1</v>
      </c>
      <c r="G83" s="1">
        <v>1</v>
      </c>
      <c r="H83" s="1">
        <v>22</v>
      </c>
      <c r="I83">
        <v>70</v>
      </c>
      <c r="J83">
        <v>207</v>
      </c>
      <c r="K83" s="1" t="s">
        <v>113</v>
      </c>
      <c r="L83">
        <v>29</v>
      </c>
      <c r="M83">
        <v>5406</v>
      </c>
      <c r="N83">
        <v>50</v>
      </c>
      <c r="O83">
        <v>335.3</v>
      </c>
      <c r="P83">
        <v>7</v>
      </c>
      <c r="Q83">
        <v>1</v>
      </c>
    </row>
    <row r="84" spans="1:17" x14ac:dyDescent="0.35">
      <c r="A84" t="str">
        <f>LOWER(Table1[[#This Row],[position]]) &amp; "_" &amp; TEXT(DATE(Table1[[#This Row],[season]], 1, 1), "yyyy") &amp; "_" &amp; LOWER(_xlfn.TEXTAFTER(Table1[[#This Row],[player_name]], " ", -1))</f>
        <v>qb_2019_jones</v>
      </c>
      <c r="B84" s="1" t="s">
        <v>121</v>
      </c>
      <c r="C84">
        <v>2019</v>
      </c>
      <c r="D84" s="1" t="s">
        <v>27</v>
      </c>
      <c r="E84" t="s">
        <v>88</v>
      </c>
      <c r="F84" cm="1">
        <f t="array" ref="F84">VALUE(INDEX(_xlfn.TEXTSPLIT(Table1[[#This Row],[player_id]], "_"), 2)) / Table1[[#This Row],[season]]</f>
        <v>1</v>
      </c>
      <c r="G84" s="1">
        <v>6</v>
      </c>
      <c r="H84" s="1">
        <v>22</v>
      </c>
      <c r="I84">
        <v>77</v>
      </c>
      <c r="J84">
        <v>230</v>
      </c>
      <c r="K84" s="1" t="s">
        <v>129</v>
      </c>
      <c r="L84">
        <v>36</v>
      </c>
      <c r="M84">
        <v>8201</v>
      </c>
      <c r="N84">
        <v>52</v>
      </c>
      <c r="O84">
        <v>298.10000000000002</v>
      </c>
      <c r="P84">
        <v>15</v>
      </c>
      <c r="Q84">
        <v>0</v>
      </c>
    </row>
    <row r="85" spans="1:17" x14ac:dyDescent="0.35">
      <c r="A85" t="str">
        <f>LOWER(Table1[[#This Row],[position]]) &amp; "_" &amp; TEXT(DATE(Table1[[#This Row],[season]], 1, 1), "yyyy") &amp; "_" &amp; LOWER(_xlfn.TEXTAFTER(Table1[[#This Row],[player_name]], " ", -1))</f>
        <v>te_2019_hockenson</v>
      </c>
      <c r="B85" s="1" t="s">
        <v>122</v>
      </c>
      <c r="C85">
        <v>2019</v>
      </c>
      <c r="D85" s="1" t="s">
        <v>83</v>
      </c>
      <c r="E85" t="s">
        <v>128</v>
      </c>
      <c r="F85" cm="1">
        <f t="array" ref="F85">VALUE(INDEX(_xlfn.TEXTSPLIT(Table1[[#This Row],[player_id]], "_"), 2)) / Table1[[#This Row],[season]]</f>
        <v>1</v>
      </c>
      <c r="G85" s="1">
        <v>8</v>
      </c>
      <c r="H85" s="1">
        <v>22</v>
      </c>
      <c r="I85">
        <v>77</v>
      </c>
      <c r="J85">
        <v>248</v>
      </c>
      <c r="K85" s="1" t="s">
        <v>130</v>
      </c>
      <c r="L85">
        <v>26</v>
      </c>
      <c r="M85">
        <v>1080</v>
      </c>
      <c r="N85">
        <v>9</v>
      </c>
      <c r="O85">
        <v>131.69999999999999</v>
      </c>
      <c r="P85">
        <v>8</v>
      </c>
      <c r="Q85">
        <v>1</v>
      </c>
    </row>
    <row r="86" spans="1:17" x14ac:dyDescent="0.35">
      <c r="A86" t="str">
        <f>LOWER(Table1[[#This Row],[position]]) &amp; "_" &amp; TEXT(DATE(Table1[[#This Row],[season]], 1, 1), "yyyy") &amp; "_" &amp; LOWER(_xlfn.TEXTAFTER(Table1[[#This Row],[player_name]], " ", -1))</f>
        <v>qb_2019_haskins</v>
      </c>
      <c r="B86" s="1" t="s">
        <v>123</v>
      </c>
      <c r="C86">
        <v>2019</v>
      </c>
      <c r="D86" s="1" t="s">
        <v>27</v>
      </c>
      <c r="E86" t="s">
        <v>61</v>
      </c>
      <c r="F86" cm="1">
        <f t="array" ref="F86">VALUE(INDEX(_xlfn.TEXTSPLIT(Table1[[#This Row],[player_id]], "_"), 2)) / Table1[[#This Row],[season]]</f>
        <v>1</v>
      </c>
      <c r="G86" s="1">
        <v>15</v>
      </c>
      <c r="H86" s="1">
        <v>22</v>
      </c>
      <c r="I86">
        <v>76</v>
      </c>
      <c r="J86">
        <v>230</v>
      </c>
      <c r="K86" s="1" t="s">
        <v>66</v>
      </c>
      <c r="L86">
        <v>22</v>
      </c>
      <c r="M86">
        <v>5396</v>
      </c>
      <c r="N86">
        <v>54</v>
      </c>
      <c r="O86">
        <v>93</v>
      </c>
      <c r="P86">
        <v>39</v>
      </c>
      <c r="Q86">
        <v>0</v>
      </c>
    </row>
    <row r="87" spans="1:17" x14ac:dyDescent="0.35">
      <c r="A87" t="str">
        <f>LOWER(Table1[[#This Row],[position]]) &amp; "_" &amp; TEXT(DATE(Table1[[#This Row],[season]], 1, 1), "yyyy") &amp; "_" &amp; LOWER(_xlfn.TEXTAFTER(Table1[[#This Row],[player_name]], " ", -1))</f>
        <v>te_2019_fant</v>
      </c>
      <c r="B87" s="1" t="s">
        <v>124</v>
      </c>
      <c r="C87">
        <v>2019</v>
      </c>
      <c r="D87" s="1" t="s">
        <v>83</v>
      </c>
      <c r="E87" t="s">
        <v>63</v>
      </c>
      <c r="F87" cm="1">
        <f t="array" ref="F87">VALUE(INDEX(_xlfn.TEXTSPLIT(Table1[[#This Row],[player_id]], "_"), 2)) / Table1[[#This Row],[season]]</f>
        <v>1</v>
      </c>
      <c r="G87" s="1">
        <v>20</v>
      </c>
      <c r="H87" s="1">
        <v>21</v>
      </c>
      <c r="I87">
        <v>76</v>
      </c>
      <c r="J87">
        <v>249</v>
      </c>
      <c r="K87" s="1" t="s">
        <v>130</v>
      </c>
      <c r="L87">
        <v>35</v>
      </c>
      <c r="M87">
        <v>1083</v>
      </c>
      <c r="N87">
        <v>19</v>
      </c>
      <c r="O87">
        <v>149.19999999999999</v>
      </c>
      <c r="P87">
        <v>16</v>
      </c>
      <c r="Q87">
        <v>0</v>
      </c>
    </row>
    <row r="88" spans="1:17" x14ac:dyDescent="0.35">
      <c r="A88" t="str">
        <f>LOWER(Table1[[#This Row],[position]]) &amp; "_" &amp; TEXT(DATE(Table1[[#This Row],[season]], 1, 1), "yyyy") &amp; "_" &amp; LOWER(_xlfn.TEXTAFTER(Table1[[#This Row],[player_name]], " ", -1))</f>
        <v>rb_2019_jacobs</v>
      </c>
      <c r="B88" s="1" t="s">
        <v>125</v>
      </c>
      <c r="C88">
        <v>2019</v>
      </c>
      <c r="D88" s="1" t="s">
        <v>29</v>
      </c>
      <c r="E88" t="s">
        <v>32</v>
      </c>
      <c r="F88" cm="1">
        <f t="array" ref="F88">VALUE(INDEX(_xlfn.TEXTSPLIT(Table1[[#This Row],[player_id]], "_"), 2)) / Table1[[#This Row],[season]]</f>
        <v>1</v>
      </c>
      <c r="G88" s="1">
        <v>24</v>
      </c>
      <c r="H88" s="1">
        <v>21</v>
      </c>
      <c r="I88">
        <v>70</v>
      </c>
      <c r="J88">
        <v>223</v>
      </c>
      <c r="K88" s="1" t="s">
        <v>42</v>
      </c>
      <c r="L88">
        <v>42</v>
      </c>
      <c r="M88">
        <v>1491</v>
      </c>
      <c r="N88">
        <v>16</v>
      </c>
      <c r="O88">
        <v>242.6</v>
      </c>
      <c r="P88">
        <v>14</v>
      </c>
      <c r="Q88">
        <v>1</v>
      </c>
    </row>
    <row r="89" spans="1:17" x14ac:dyDescent="0.35">
      <c r="A89" t="str">
        <f>LOWER(Table1[[#This Row],[position]]) &amp; "_" &amp; TEXT(DATE(Table1[[#This Row],[season]], 1, 1), "yyyy") &amp; "_" &amp; LOWER(_xlfn.TEXTAFTER(Table1[[#This Row],[player_name]], " ", -1))</f>
        <v>wr_2019_brown</v>
      </c>
      <c r="B89" s="1" t="s">
        <v>126</v>
      </c>
      <c r="C89">
        <v>2019</v>
      </c>
      <c r="D89" s="1" t="s">
        <v>28</v>
      </c>
      <c r="E89" t="s">
        <v>38</v>
      </c>
      <c r="F89" cm="1">
        <f t="array" ref="F89">VALUE(INDEX(_xlfn.TEXTSPLIT(Table1[[#This Row],[player_id]], "_"), 2)) / Table1[[#This Row],[season]]</f>
        <v>1</v>
      </c>
      <c r="G89" s="1">
        <v>25</v>
      </c>
      <c r="H89" s="1">
        <v>22</v>
      </c>
      <c r="I89">
        <v>69</v>
      </c>
      <c r="J89">
        <v>180</v>
      </c>
      <c r="K89" s="1" t="s">
        <v>113</v>
      </c>
      <c r="L89">
        <v>27</v>
      </c>
      <c r="M89">
        <v>2413</v>
      </c>
      <c r="N89">
        <v>17</v>
      </c>
      <c r="O89">
        <v>170.4</v>
      </c>
      <c r="P89">
        <v>46</v>
      </c>
      <c r="Q89">
        <v>0</v>
      </c>
    </row>
    <row r="90" spans="1:17" x14ac:dyDescent="0.35">
      <c r="A90" t="str">
        <f>LOWER(Table1[[#This Row],[position]]) &amp; "_" &amp; TEXT(DATE(Table1[[#This Row],[season]], 1, 1), "yyyy") &amp; "_" &amp; LOWER(_xlfn.TEXTAFTER(Table1[[#This Row],[player_name]], " ", -1))</f>
        <v>wr_2019_harry</v>
      </c>
      <c r="B90" s="1" t="s">
        <v>127</v>
      </c>
      <c r="C90">
        <v>2019</v>
      </c>
      <c r="D90" s="1" t="s">
        <v>28</v>
      </c>
      <c r="E90" t="s">
        <v>112</v>
      </c>
      <c r="F90" cm="1">
        <f t="array" ref="F90">VALUE(INDEX(_xlfn.TEXTSPLIT(Table1[[#This Row],[player_id]], "_"), 2)) / Table1[[#This Row],[season]]</f>
        <v>1</v>
      </c>
      <c r="G90" s="1">
        <v>32</v>
      </c>
      <c r="H90" s="1">
        <v>21</v>
      </c>
      <c r="I90">
        <v>76</v>
      </c>
      <c r="J90">
        <v>225</v>
      </c>
      <c r="K90" s="1" t="s">
        <v>131</v>
      </c>
      <c r="L90">
        <v>37</v>
      </c>
      <c r="M90">
        <v>2889</v>
      </c>
      <c r="N90">
        <v>22</v>
      </c>
      <c r="O90">
        <v>25.5</v>
      </c>
      <c r="P90">
        <v>171</v>
      </c>
      <c r="Q90">
        <v>0</v>
      </c>
    </row>
    <row r="91" spans="1:17" x14ac:dyDescent="0.35">
      <c r="A91" t="str">
        <f>LOWER(Table1[[#This Row],[position]]) &amp; "_" &amp; TEXT(DATE(Table1[[#This Row],[season]], 1, 1), "yyyy") &amp; "_" &amp; LOWER(_xlfn.TEXTAFTER(Table1[[#This Row],[player_name]], " ", -1))</f>
        <v>qb_2020_burrow</v>
      </c>
      <c r="B91" s="1" t="s">
        <v>132</v>
      </c>
      <c r="C91">
        <v>2020</v>
      </c>
      <c r="D91" s="1" t="s">
        <v>27</v>
      </c>
      <c r="E91" t="s">
        <v>86</v>
      </c>
      <c r="F91" cm="1">
        <f t="array" ref="F91">VALUE(INDEX(_xlfn.TEXTSPLIT(Table1[[#This Row],[player_id]], "_"), 2)) / Table1[[#This Row],[season]]</f>
        <v>1</v>
      </c>
      <c r="G91" s="1">
        <v>1</v>
      </c>
      <c r="H91" s="1">
        <v>23</v>
      </c>
      <c r="I91">
        <v>76</v>
      </c>
      <c r="J91">
        <v>215</v>
      </c>
      <c r="K91" s="1" t="s">
        <v>90</v>
      </c>
      <c r="L91">
        <v>39</v>
      </c>
      <c r="M91">
        <v>8852</v>
      </c>
      <c r="N91">
        <v>78</v>
      </c>
      <c r="O91">
        <v>178.7</v>
      </c>
      <c r="P91">
        <v>25</v>
      </c>
      <c r="Q91">
        <v>0</v>
      </c>
    </row>
    <row r="92" spans="1:17" x14ac:dyDescent="0.35">
      <c r="A92" t="str">
        <f>LOWER(Table1[[#This Row],[position]]) &amp; "_" &amp; TEXT(DATE(Table1[[#This Row],[season]], 1, 1), "yyyy") &amp; "_" &amp; LOWER(_xlfn.TEXTAFTER(Table1[[#This Row],[player_name]], " ", -1))</f>
        <v>qb_2020_tagovailoa</v>
      </c>
      <c r="B92" s="1" t="s">
        <v>133</v>
      </c>
      <c r="C92">
        <v>2020</v>
      </c>
      <c r="D92" s="1" t="s">
        <v>27</v>
      </c>
      <c r="E92" t="s">
        <v>35</v>
      </c>
      <c r="F92" cm="1">
        <f t="array" ref="F92">VALUE(INDEX(_xlfn.TEXTSPLIT(Table1[[#This Row],[player_id]], "_"), 2)) / Table1[[#This Row],[season]]</f>
        <v>1</v>
      </c>
      <c r="G92" s="1">
        <v>5</v>
      </c>
      <c r="H92" s="1">
        <v>22</v>
      </c>
      <c r="I92">
        <v>73</v>
      </c>
      <c r="J92">
        <v>225</v>
      </c>
      <c r="K92" s="1" t="s">
        <v>42</v>
      </c>
      <c r="L92">
        <v>33</v>
      </c>
      <c r="M92">
        <v>7442</v>
      </c>
      <c r="N92">
        <v>87</v>
      </c>
      <c r="O92">
        <v>153.30000000000001</v>
      </c>
      <c r="P92">
        <v>31</v>
      </c>
      <c r="Q92">
        <v>0</v>
      </c>
    </row>
    <row r="93" spans="1:17" x14ac:dyDescent="0.35">
      <c r="A93" t="str">
        <f>LOWER(Table1[[#This Row],[position]]) &amp; "_" &amp; TEXT(DATE(Table1[[#This Row],[season]], 1, 1), "yyyy") &amp; "_" &amp; LOWER(_xlfn.TEXTAFTER(Table1[[#This Row],[player_name]], " ", -1))</f>
        <v>qb_2020_herbert</v>
      </c>
      <c r="B93" s="1" t="s">
        <v>134</v>
      </c>
      <c r="C93">
        <v>2020</v>
      </c>
      <c r="D93" s="1" t="s">
        <v>27</v>
      </c>
      <c r="E93" t="s">
        <v>36</v>
      </c>
      <c r="F93" cm="1">
        <f t="array" ref="F93">VALUE(INDEX(_xlfn.TEXTSPLIT(Table1[[#This Row],[player_id]], "_"), 2)) / Table1[[#This Row],[season]]</f>
        <v>1</v>
      </c>
      <c r="G93" s="1">
        <v>6</v>
      </c>
      <c r="H93" s="1">
        <v>22</v>
      </c>
      <c r="I93">
        <v>78</v>
      </c>
      <c r="J93">
        <v>236</v>
      </c>
      <c r="K93" s="1" t="s">
        <v>41</v>
      </c>
      <c r="L93">
        <v>44</v>
      </c>
      <c r="M93">
        <v>10541</v>
      </c>
      <c r="N93">
        <v>95</v>
      </c>
      <c r="O93">
        <v>395.1</v>
      </c>
      <c r="P93">
        <v>9</v>
      </c>
      <c r="Q93">
        <v>1</v>
      </c>
    </row>
    <row r="94" spans="1:17" x14ac:dyDescent="0.35">
      <c r="A94" t="str">
        <f>LOWER(Table1[[#This Row],[position]]) &amp; "_" &amp; TEXT(DATE(Table1[[#This Row],[season]], 1, 1), "yyyy") &amp; "_" &amp; LOWER(_xlfn.TEXTAFTER(Table1[[#This Row],[player_name]], " ", -1))</f>
        <v>wr_2020_ruggs-iii</v>
      </c>
      <c r="B94" s="1" t="s">
        <v>143</v>
      </c>
      <c r="C94">
        <v>2020</v>
      </c>
      <c r="D94" s="1" t="s">
        <v>28</v>
      </c>
      <c r="E94" t="s">
        <v>32</v>
      </c>
      <c r="F94" cm="1">
        <f t="array" ref="F94">VALUE(INDEX(_xlfn.TEXTSPLIT(Table1[[#This Row],[player_id]], "_"), 2)) / Table1[[#This Row],[season]]</f>
        <v>1</v>
      </c>
      <c r="G94" s="1">
        <v>12</v>
      </c>
      <c r="H94" s="1">
        <v>21</v>
      </c>
      <c r="I94">
        <v>72</v>
      </c>
      <c r="J94">
        <v>190</v>
      </c>
      <c r="K94" s="1" t="s">
        <v>42</v>
      </c>
      <c r="L94">
        <v>41</v>
      </c>
      <c r="M94">
        <v>1716</v>
      </c>
      <c r="N94">
        <v>24</v>
      </c>
      <c r="O94">
        <v>86.2</v>
      </c>
      <c r="P94">
        <v>90</v>
      </c>
      <c r="Q94">
        <v>0</v>
      </c>
    </row>
    <row r="95" spans="1:17" x14ac:dyDescent="0.35">
      <c r="A95" t="str">
        <f>LOWER(Table1[[#This Row],[position]]) &amp; "_" &amp; TEXT(DATE(Table1[[#This Row],[season]], 1, 1), "yyyy") &amp; "_" &amp; LOWER(_xlfn.TEXTAFTER(Table1[[#This Row],[player_name]], " ", -1))</f>
        <v>wr_2020_jeudy</v>
      </c>
      <c r="B95" s="1" t="s">
        <v>135</v>
      </c>
      <c r="C95">
        <v>2020</v>
      </c>
      <c r="D95" s="1" t="s">
        <v>28</v>
      </c>
      <c r="E95" t="s">
        <v>63</v>
      </c>
      <c r="F95" cm="1">
        <f t="array" ref="F95">VALUE(INDEX(_xlfn.TEXTSPLIT(Table1[[#This Row],[player_id]], "_"), 2)) / Table1[[#This Row],[season]]</f>
        <v>1</v>
      </c>
      <c r="G95" s="1">
        <v>15</v>
      </c>
      <c r="H95" s="1">
        <v>21</v>
      </c>
      <c r="I95">
        <v>73</v>
      </c>
      <c r="J95">
        <v>195</v>
      </c>
      <c r="K95" s="1" t="s">
        <v>42</v>
      </c>
      <c r="L95">
        <v>42</v>
      </c>
      <c r="M95">
        <v>2742</v>
      </c>
      <c r="N95">
        <v>26</v>
      </c>
      <c r="O95">
        <v>221.6</v>
      </c>
      <c r="P95">
        <v>21</v>
      </c>
      <c r="Q95">
        <v>1</v>
      </c>
    </row>
    <row r="96" spans="1:17" x14ac:dyDescent="0.35">
      <c r="A96" t="str">
        <f>LOWER(Table1[[#This Row],[position]]) &amp; "_" &amp; TEXT(DATE(Table1[[#This Row],[season]], 1, 1), "yyyy") &amp; "_" &amp; LOWER(_xlfn.TEXTAFTER(Table1[[#This Row],[player_name]], " ", -1))</f>
        <v>wr_2020_lamb</v>
      </c>
      <c r="B96" s="1" t="s">
        <v>136</v>
      </c>
      <c r="C96">
        <v>2020</v>
      </c>
      <c r="D96" s="1" t="s">
        <v>28</v>
      </c>
      <c r="E96" t="s">
        <v>58</v>
      </c>
      <c r="F96" cm="1">
        <f t="array" ref="F96">VALUE(INDEX(_xlfn.TEXTSPLIT(Table1[[#This Row],[player_id]], "_"), 2)) / Table1[[#This Row],[season]]</f>
        <v>1</v>
      </c>
      <c r="G96" s="1">
        <v>17</v>
      </c>
      <c r="H96" s="1">
        <v>21</v>
      </c>
      <c r="I96">
        <v>74</v>
      </c>
      <c r="J96">
        <v>200</v>
      </c>
      <c r="K96" s="1" t="s">
        <v>113</v>
      </c>
      <c r="L96">
        <v>41</v>
      </c>
      <c r="M96">
        <v>3292</v>
      </c>
      <c r="N96">
        <v>32</v>
      </c>
      <c r="O96">
        <v>233.7</v>
      </c>
      <c r="P96">
        <v>18</v>
      </c>
      <c r="Q96">
        <v>1</v>
      </c>
    </row>
    <row r="97" spans="1:17" x14ac:dyDescent="0.35">
      <c r="A97" t="str">
        <f>LOWER(Table1[[#This Row],[position]]) &amp; "_" &amp; TEXT(DATE(Table1[[#This Row],[season]], 1, 1), "yyyy") &amp; "_" &amp; LOWER(_xlfn.TEXTAFTER(Table1[[#This Row],[player_name]], " ", -1))</f>
        <v>wr_2020_reagor</v>
      </c>
      <c r="B97" s="1" t="s">
        <v>137</v>
      </c>
      <c r="C97">
        <v>2020</v>
      </c>
      <c r="D97" s="1" t="s">
        <v>28</v>
      </c>
      <c r="E97" t="s">
        <v>37</v>
      </c>
      <c r="F97" cm="1">
        <f t="array" ref="F97">VALUE(INDEX(_xlfn.TEXTSPLIT(Table1[[#This Row],[player_id]], "_"), 2)) / Table1[[#This Row],[season]]</f>
        <v>1</v>
      </c>
      <c r="G97" s="1">
        <v>21</v>
      </c>
      <c r="H97" s="1">
        <v>21</v>
      </c>
      <c r="I97">
        <v>71</v>
      </c>
      <c r="J97">
        <v>197</v>
      </c>
      <c r="K97" s="1" t="s">
        <v>69</v>
      </c>
      <c r="L97">
        <v>39</v>
      </c>
      <c r="M97">
        <v>2248</v>
      </c>
      <c r="N97">
        <v>22</v>
      </c>
      <c r="O97">
        <v>88.6</v>
      </c>
      <c r="P97">
        <v>89</v>
      </c>
      <c r="Q97">
        <v>0</v>
      </c>
    </row>
    <row r="98" spans="1:17" x14ac:dyDescent="0.35">
      <c r="A98" t="str">
        <f>LOWER(Table1[[#This Row],[position]]) &amp; "_" &amp; TEXT(DATE(Table1[[#This Row],[season]], 1, 1), "yyyy") &amp; "_" &amp; LOWER(_xlfn.TEXTAFTER(Table1[[#This Row],[player_name]], " ", -1))</f>
        <v>wr_2020_jefferson</v>
      </c>
      <c r="B98" s="1" t="s">
        <v>138</v>
      </c>
      <c r="C98">
        <v>2020</v>
      </c>
      <c r="D98" s="1" t="s">
        <v>28</v>
      </c>
      <c r="E98" t="s">
        <v>62</v>
      </c>
      <c r="F98" cm="1">
        <f t="array" ref="F98">VALUE(INDEX(_xlfn.TEXTSPLIT(Table1[[#This Row],[player_id]], "_"), 2)) / Table1[[#This Row],[season]]</f>
        <v>1</v>
      </c>
      <c r="G98" s="1">
        <v>22</v>
      </c>
      <c r="H98" s="1">
        <v>21</v>
      </c>
      <c r="I98">
        <v>73</v>
      </c>
      <c r="J98">
        <v>195</v>
      </c>
      <c r="K98" s="1" t="s">
        <v>90</v>
      </c>
      <c r="L98">
        <v>34</v>
      </c>
      <c r="M98">
        <v>2415</v>
      </c>
      <c r="N98">
        <v>24</v>
      </c>
      <c r="O98">
        <v>274.2</v>
      </c>
      <c r="P98">
        <v>6</v>
      </c>
      <c r="Q98">
        <v>1</v>
      </c>
    </row>
    <row r="99" spans="1:17" x14ac:dyDescent="0.35">
      <c r="A99" t="str">
        <f>LOWER(Table1[[#This Row],[position]]) &amp; "_" &amp; TEXT(DATE(Table1[[#This Row],[season]], 1, 1), "yyyy") &amp; "_" &amp; LOWER(_xlfn.TEXTAFTER(Table1[[#This Row],[player_name]], " ", -1))</f>
        <v>wr_2020_aiyuk</v>
      </c>
      <c r="B99" s="1" t="s">
        <v>139</v>
      </c>
      <c r="C99">
        <v>2020</v>
      </c>
      <c r="D99" s="1" t="s">
        <v>28</v>
      </c>
      <c r="E99" t="s">
        <v>144</v>
      </c>
      <c r="F99" cm="1">
        <f t="array" ref="F99">VALUE(INDEX(_xlfn.TEXTSPLIT(Table1[[#This Row],[player_id]], "_"), 2)) / Table1[[#This Row],[season]]</f>
        <v>1</v>
      </c>
      <c r="G99" s="1">
        <v>25</v>
      </c>
      <c r="H99" s="1">
        <v>22</v>
      </c>
      <c r="I99">
        <v>72</v>
      </c>
      <c r="J99">
        <v>200</v>
      </c>
      <c r="K99" s="1" t="s">
        <v>131</v>
      </c>
      <c r="L99">
        <v>25</v>
      </c>
      <c r="M99">
        <v>1666</v>
      </c>
      <c r="N99">
        <v>11</v>
      </c>
      <c r="O99">
        <v>214</v>
      </c>
      <c r="P99">
        <v>15</v>
      </c>
      <c r="Q99">
        <v>1</v>
      </c>
    </row>
    <row r="100" spans="1:17" x14ac:dyDescent="0.35">
      <c r="A100" t="str">
        <f>LOWER(Table1[[#This Row],[position]]) &amp; "_" &amp; TEXT(DATE(Table1[[#This Row],[season]], 1, 1), "yyyy") &amp; "_" &amp; LOWER(_xlfn.TEXTAFTER(Table1[[#This Row],[player_name]], " ", -1))</f>
        <v>qb_2020_love</v>
      </c>
      <c r="B100" s="1" t="s">
        <v>140</v>
      </c>
      <c r="C100">
        <v>2020</v>
      </c>
      <c r="D100" s="1" t="s">
        <v>27</v>
      </c>
      <c r="E100" t="s">
        <v>145</v>
      </c>
      <c r="F100" cm="1">
        <f t="array" ref="F100">VALUE(INDEX(_xlfn.TEXTSPLIT(Table1[[#This Row],[player_id]], "_"), 2)) / Table1[[#This Row],[season]]</f>
        <v>1</v>
      </c>
      <c r="G100" s="1">
        <v>26</v>
      </c>
      <c r="H100" s="1">
        <v>21</v>
      </c>
      <c r="I100">
        <v>76</v>
      </c>
      <c r="J100">
        <v>219</v>
      </c>
      <c r="K100" s="1" t="s">
        <v>142</v>
      </c>
      <c r="L100">
        <v>38</v>
      </c>
      <c r="M100">
        <v>8600</v>
      </c>
      <c r="N100">
        <v>60</v>
      </c>
      <c r="O100">
        <v>0</v>
      </c>
      <c r="P100">
        <v>999</v>
      </c>
      <c r="Q100">
        <v>0</v>
      </c>
    </row>
    <row r="101" spans="1:17" x14ac:dyDescent="0.35">
      <c r="A101" t="str">
        <f>LOWER(Table1[[#This Row],[position]]) &amp; "_" &amp; TEXT(DATE(Table1[[#This Row],[season]], 1, 1), "yyyy") &amp; "_" &amp; LOWER(_xlfn.TEXTAFTER(Table1[[#This Row],[player_name]], " ", -1))</f>
        <v>rb_2020_edwards-helaire</v>
      </c>
      <c r="B101" s="1" t="s">
        <v>141</v>
      </c>
      <c r="C101">
        <v>2020</v>
      </c>
      <c r="D101" s="1" t="s">
        <v>29</v>
      </c>
      <c r="E101" t="s">
        <v>87</v>
      </c>
      <c r="F101" cm="1">
        <f t="array" ref="F101">VALUE(INDEX(_xlfn.TEXTSPLIT(Table1[[#This Row],[player_id]], "_"), 2)) / Table1[[#This Row],[season]]</f>
        <v>1</v>
      </c>
      <c r="G101" s="1">
        <v>32</v>
      </c>
      <c r="H101" s="1">
        <v>21</v>
      </c>
      <c r="I101">
        <v>67</v>
      </c>
      <c r="J101">
        <v>207</v>
      </c>
      <c r="K101" s="1" t="s">
        <v>90</v>
      </c>
      <c r="L101">
        <v>41</v>
      </c>
      <c r="M101">
        <v>2103</v>
      </c>
      <c r="N101">
        <v>23</v>
      </c>
      <c r="O101">
        <v>181.8</v>
      </c>
      <c r="P101">
        <v>22</v>
      </c>
      <c r="Q101">
        <v>1</v>
      </c>
    </row>
    <row r="102" spans="1:17" x14ac:dyDescent="0.35">
      <c r="A102" t="str">
        <f>LOWER(Table1[[#This Row],[position]]) &amp; "_" &amp; TEXT(DATE(Table1[[#This Row],[season]], 1, 1), "yyyy") &amp; "_" &amp; LOWER(_xlfn.TEXTAFTER(Table1[[#This Row],[player_name]], " ", -1))</f>
        <v>qb_2021_lawrence</v>
      </c>
      <c r="B102" s="1" t="s">
        <v>146</v>
      </c>
      <c r="C102">
        <v>2021</v>
      </c>
      <c r="D102" s="1" t="s">
        <v>27</v>
      </c>
      <c r="E102" t="s">
        <v>84</v>
      </c>
      <c r="F102" cm="1">
        <f t="array" ref="F102">VALUE(INDEX(_xlfn.TEXTSPLIT(Table1[[#This Row],[player_id]], "_"), 2)) / Table1[[#This Row],[season]]</f>
        <v>1</v>
      </c>
      <c r="G102" s="1">
        <v>1</v>
      </c>
      <c r="H102" s="1">
        <v>21</v>
      </c>
      <c r="I102">
        <v>78</v>
      </c>
      <c r="J102">
        <v>220</v>
      </c>
      <c r="K102" s="1" t="s">
        <v>92</v>
      </c>
      <c r="L102">
        <v>40</v>
      </c>
      <c r="M102">
        <v>10098</v>
      </c>
      <c r="N102">
        <v>90</v>
      </c>
      <c r="O102">
        <v>275.7</v>
      </c>
      <c r="P102">
        <v>16</v>
      </c>
      <c r="Q102">
        <v>0</v>
      </c>
    </row>
    <row r="103" spans="1:17" x14ac:dyDescent="0.35">
      <c r="A103" t="str">
        <f>LOWER(Table1[[#This Row],[position]]) &amp; "_" &amp; TEXT(DATE(Table1[[#This Row],[season]], 1, 1), "yyyy") &amp; "_" &amp; LOWER(_xlfn.TEXTAFTER(Table1[[#This Row],[player_name]], " ", -1))</f>
        <v>qb_2021_wilson</v>
      </c>
      <c r="B103" s="1" t="s">
        <v>147</v>
      </c>
      <c r="C103">
        <v>2021</v>
      </c>
      <c r="D103" s="1" t="s">
        <v>27</v>
      </c>
      <c r="E103" t="s">
        <v>107</v>
      </c>
      <c r="F103" cm="1">
        <f t="array" ref="F103">VALUE(INDEX(_xlfn.TEXTSPLIT(Table1[[#This Row],[player_id]], "_"), 2)) / Table1[[#This Row],[season]]</f>
        <v>1</v>
      </c>
      <c r="G103" s="1">
        <v>2</v>
      </c>
      <c r="H103" s="1">
        <v>22</v>
      </c>
      <c r="I103">
        <v>74</v>
      </c>
      <c r="J103">
        <v>214</v>
      </c>
      <c r="K103" s="1" t="s">
        <v>159</v>
      </c>
      <c r="L103">
        <v>30</v>
      </c>
      <c r="M103">
        <v>7652</v>
      </c>
      <c r="N103">
        <v>56</v>
      </c>
      <c r="O103">
        <v>185.9</v>
      </c>
      <c r="P103">
        <v>30</v>
      </c>
      <c r="Q103">
        <v>0</v>
      </c>
    </row>
    <row r="104" spans="1:17" x14ac:dyDescent="0.35">
      <c r="A104" t="str">
        <f>LOWER(Table1[[#This Row],[position]]) &amp; "_" &amp; TEXT(DATE(Table1[[#This Row],[season]], 1, 1), "yyyy") &amp; "_" &amp; LOWER(_xlfn.TEXTAFTER(Table1[[#This Row],[player_name]], " ", -1))</f>
        <v>qb_2021_lance</v>
      </c>
      <c r="B104" s="1" t="s">
        <v>148</v>
      </c>
      <c r="C104">
        <v>2021</v>
      </c>
      <c r="D104" s="1" t="s">
        <v>27</v>
      </c>
      <c r="E104" t="s">
        <v>144</v>
      </c>
      <c r="F104" cm="1">
        <f t="array" ref="F104">VALUE(INDEX(_xlfn.TEXTSPLIT(Table1[[#This Row],[player_id]], "_"), 2)) / Table1[[#This Row],[season]]</f>
        <v>1</v>
      </c>
      <c r="G104" s="1">
        <v>3</v>
      </c>
      <c r="H104" s="1">
        <v>21</v>
      </c>
      <c r="I104">
        <v>76</v>
      </c>
      <c r="J104">
        <v>226</v>
      </c>
      <c r="K104" s="1" t="s">
        <v>65</v>
      </c>
      <c r="L104">
        <v>19</v>
      </c>
      <c r="M104">
        <v>2786</v>
      </c>
      <c r="N104">
        <v>28</v>
      </c>
      <c r="O104">
        <v>69</v>
      </c>
      <c r="P104">
        <v>44</v>
      </c>
      <c r="Q104">
        <v>0</v>
      </c>
    </row>
    <row r="105" spans="1:17" x14ac:dyDescent="0.35">
      <c r="A105" t="str">
        <f>LOWER(Table1[[#This Row],[position]]) &amp; "_" &amp; TEXT(DATE(Table1[[#This Row],[season]], 1, 1), "yyyy") &amp; "_" &amp; LOWER(_xlfn.TEXTAFTER(Table1[[#This Row],[player_name]], " ", -1))</f>
        <v>te_2021_pitts</v>
      </c>
      <c r="B105" s="1" t="s">
        <v>149</v>
      </c>
      <c r="C105">
        <v>2021</v>
      </c>
      <c r="D105" s="1" t="s">
        <v>83</v>
      </c>
      <c r="E105" t="s">
        <v>110</v>
      </c>
      <c r="F105" cm="1">
        <f t="array" ref="F105">VALUE(INDEX(_xlfn.TEXTSPLIT(Table1[[#This Row],[player_id]], "_"), 2)) / Table1[[#This Row],[season]]</f>
        <v>1</v>
      </c>
      <c r="G105" s="1">
        <v>4</v>
      </c>
      <c r="H105" s="1">
        <v>20</v>
      </c>
      <c r="I105">
        <v>78</v>
      </c>
      <c r="J105">
        <v>250</v>
      </c>
      <c r="K105" s="1" t="s">
        <v>160</v>
      </c>
      <c r="L105">
        <v>32</v>
      </c>
      <c r="M105">
        <v>1492</v>
      </c>
      <c r="N105">
        <v>18</v>
      </c>
      <c r="O105" s="2">
        <v>176.6</v>
      </c>
      <c r="P105">
        <v>6</v>
      </c>
      <c r="Q105">
        <v>1</v>
      </c>
    </row>
    <row r="106" spans="1:17" x14ac:dyDescent="0.35">
      <c r="A106" t="str">
        <f>LOWER(Table1[[#This Row],[position]]) &amp; "_" &amp; TEXT(DATE(Table1[[#This Row],[season]], 1, 1), "yyyy") &amp; "_" &amp; LOWER(_xlfn.TEXTAFTER(Table1[[#This Row],[player_name]], " ", -1))</f>
        <v>wr_2021_chase</v>
      </c>
      <c r="B106" s="1" t="s">
        <v>150</v>
      </c>
      <c r="C106">
        <v>2021</v>
      </c>
      <c r="D106" s="1" t="s">
        <v>28</v>
      </c>
      <c r="E106" t="s">
        <v>86</v>
      </c>
      <c r="F106" cm="1">
        <f t="array" ref="F106">VALUE(INDEX(_xlfn.TEXTSPLIT(Table1[[#This Row],[player_id]], "_"), 2)) / Table1[[#This Row],[season]]</f>
        <v>1</v>
      </c>
      <c r="G106" s="1">
        <v>5</v>
      </c>
      <c r="H106" s="1">
        <v>21</v>
      </c>
      <c r="I106">
        <v>72</v>
      </c>
      <c r="J106">
        <v>200</v>
      </c>
      <c r="K106" s="1" t="s">
        <v>90</v>
      </c>
      <c r="L106">
        <v>27</v>
      </c>
      <c r="M106">
        <v>2093</v>
      </c>
      <c r="N106">
        <v>23</v>
      </c>
      <c r="O106">
        <v>304.60000000000002</v>
      </c>
      <c r="P106">
        <v>5</v>
      </c>
      <c r="Q106">
        <v>1</v>
      </c>
    </row>
    <row r="107" spans="1:17" x14ac:dyDescent="0.35">
      <c r="A107" t="str">
        <f>LOWER(Table1[[#This Row],[position]]) &amp; "_" &amp; TEXT(DATE(Table1[[#This Row],[season]], 1, 1), "yyyy") &amp; "_" &amp; LOWER(_xlfn.TEXTAFTER(Table1[[#This Row],[player_name]], " ", -1))</f>
        <v>wr_2021_waddle</v>
      </c>
      <c r="B107" s="1" t="s">
        <v>151</v>
      </c>
      <c r="C107">
        <v>2021</v>
      </c>
      <c r="D107" s="1" t="s">
        <v>28</v>
      </c>
      <c r="E107" t="s">
        <v>35</v>
      </c>
      <c r="F107" cm="1">
        <f t="array" ref="F107">VALUE(INDEX(_xlfn.TEXTSPLIT(Table1[[#This Row],[player_id]], "_"), 2)) / Table1[[#This Row],[season]]</f>
        <v>1</v>
      </c>
      <c r="G107" s="1">
        <v>6</v>
      </c>
      <c r="H107" s="1">
        <v>22</v>
      </c>
      <c r="I107">
        <v>70</v>
      </c>
      <c r="J107">
        <v>185</v>
      </c>
      <c r="K107" s="1" t="s">
        <v>42</v>
      </c>
      <c r="L107">
        <v>34</v>
      </c>
      <c r="M107">
        <v>1999</v>
      </c>
      <c r="N107">
        <v>17</v>
      </c>
      <c r="O107">
        <v>245.8</v>
      </c>
      <c r="P107">
        <v>13</v>
      </c>
      <c r="Q107">
        <v>1</v>
      </c>
    </row>
    <row r="108" spans="1:17" x14ac:dyDescent="0.35">
      <c r="A108" t="str">
        <f>LOWER(Table1[[#This Row],[position]]) &amp; "_" &amp; TEXT(DATE(Table1[[#This Row],[season]], 1, 1), "yyyy") &amp; "_" &amp; LOWER(_xlfn.TEXTAFTER(Table1[[#This Row],[player_name]], " ", -1))</f>
        <v>wr_2021_smith</v>
      </c>
      <c r="B108" s="1" t="s">
        <v>152</v>
      </c>
      <c r="C108">
        <v>2021</v>
      </c>
      <c r="D108" s="1" t="s">
        <v>28</v>
      </c>
      <c r="E108" t="s">
        <v>37</v>
      </c>
      <c r="F108" cm="1">
        <f t="array" ref="F108">VALUE(INDEX(_xlfn.TEXTSPLIT(Table1[[#This Row],[player_id]], "_"), 2)) / Table1[[#This Row],[season]]</f>
        <v>1</v>
      </c>
      <c r="G108" s="1">
        <v>10</v>
      </c>
      <c r="H108" s="1">
        <v>22</v>
      </c>
      <c r="I108">
        <v>72</v>
      </c>
      <c r="J108">
        <v>170</v>
      </c>
      <c r="K108" s="1" t="s">
        <v>42</v>
      </c>
      <c r="L108">
        <v>54</v>
      </c>
      <c r="M108">
        <v>3965</v>
      </c>
      <c r="N108">
        <v>46</v>
      </c>
      <c r="O108">
        <v>219.6</v>
      </c>
      <c r="P108">
        <v>29</v>
      </c>
      <c r="Q108">
        <v>1</v>
      </c>
    </row>
    <row r="109" spans="1:17" x14ac:dyDescent="0.35">
      <c r="A109" t="str">
        <f>LOWER(Table1[[#This Row],[position]]) &amp; "_" &amp; TEXT(DATE(Table1[[#This Row],[season]], 1, 1), "yyyy") &amp; "_" &amp; LOWER(_xlfn.TEXTAFTER(Table1[[#This Row],[player_name]], " ", -1))</f>
        <v>qb_2021_fields</v>
      </c>
      <c r="B109" s="1" t="s">
        <v>153</v>
      </c>
      <c r="C109">
        <v>2021</v>
      </c>
      <c r="D109" s="1" t="s">
        <v>27</v>
      </c>
      <c r="E109" t="s">
        <v>33</v>
      </c>
      <c r="F109" cm="1">
        <f t="array" ref="F109">VALUE(INDEX(_xlfn.TEXTSPLIT(Table1[[#This Row],[player_id]], "_"), 2)) / Table1[[#This Row],[season]]</f>
        <v>1</v>
      </c>
      <c r="G109" s="1">
        <v>11</v>
      </c>
      <c r="H109" s="1">
        <v>22</v>
      </c>
      <c r="I109">
        <v>75</v>
      </c>
      <c r="J109">
        <v>227</v>
      </c>
      <c r="K109" s="1" t="s">
        <v>66</v>
      </c>
      <c r="L109">
        <v>34</v>
      </c>
      <c r="M109">
        <v>5701</v>
      </c>
      <c r="N109">
        <v>67</v>
      </c>
      <c r="O109">
        <v>159.4</v>
      </c>
      <c r="P109">
        <v>31</v>
      </c>
      <c r="Q109">
        <v>0</v>
      </c>
    </row>
    <row r="110" spans="1:17" x14ac:dyDescent="0.35">
      <c r="A110" t="str">
        <f>LOWER(Table1[[#This Row],[position]]) &amp; "_" &amp; TEXT(DATE(Table1[[#This Row],[season]], 1, 1), "yyyy") &amp; "_" &amp; LOWER(_xlfn.TEXTAFTER(Table1[[#This Row],[player_name]], " ", -1))</f>
        <v>qb_2021_jones</v>
      </c>
      <c r="B110" s="1" t="s">
        <v>154</v>
      </c>
      <c r="C110">
        <v>2021</v>
      </c>
      <c r="D110" s="1" t="s">
        <v>27</v>
      </c>
      <c r="E110" t="s">
        <v>112</v>
      </c>
      <c r="F110" cm="1">
        <f t="array" ref="F110">VALUE(INDEX(_xlfn.TEXTSPLIT(Table1[[#This Row],[player_id]], "_"), 2)) / Table1[[#This Row],[season]]</f>
        <v>1</v>
      </c>
      <c r="G110" s="1">
        <v>15</v>
      </c>
      <c r="H110" s="1">
        <v>23</v>
      </c>
      <c r="I110">
        <v>75</v>
      </c>
      <c r="J110">
        <v>220</v>
      </c>
      <c r="K110" s="1" t="s">
        <v>42</v>
      </c>
      <c r="L110">
        <v>39</v>
      </c>
      <c r="M110">
        <v>6126</v>
      </c>
      <c r="N110">
        <v>56</v>
      </c>
      <c r="O110">
        <v>258.8</v>
      </c>
      <c r="P110">
        <v>18</v>
      </c>
      <c r="Q110">
        <v>0</v>
      </c>
    </row>
    <row r="111" spans="1:17" x14ac:dyDescent="0.35">
      <c r="A111" t="str">
        <f>LOWER(Table1[[#This Row],[position]]) &amp; "_" &amp; TEXT(DATE(Table1[[#This Row],[season]], 1, 1), "yyyy") &amp; "_" &amp; LOWER(_xlfn.TEXTAFTER(Table1[[#This Row],[player_name]], " ", -1))</f>
        <v>wr_2021_toney</v>
      </c>
      <c r="B111" s="1" t="s">
        <v>155</v>
      </c>
      <c r="C111">
        <v>2021</v>
      </c>
      <c r="D111" s="1" t="s">
        <v>28</v>
      </c>
      <c r="E111" t="s">
        <v>88</v>
      </c>
      <c r="F111" cm="1">
        <f t="array" ref="F111">VALUE(INDEX(_xlfn.TEXTSPLIT(Table1[[#This Row],[player_id]], "_"), 2)) / Table1[[#This Row],[season]]</f>
        <v>1</v>
      </c>
      <c r="G111" s="1">
        <v>20</v>
      </c>
      <c r="H111" s="1">
        <v>22</v>
      </c>
      <c r="I111">
        <v>72</v>
      </c>
      <c r="J111">
        <v>193</v>
      </c>
      <c r="K111" s="1" t="s">
        <v>160</v>
      </c>
      <c r="L111">
        <v>38</v>
      </c>
      <c r="M111">
        <v>1590</v>
      </c>
      <c r="N111">
        <v>12</v>
      </c>
      <c r="O111">
        <v>94.9</v>
      </c>
      <c r="P111">
        <v>84</v>
      </c>
      <c r="Q111">
        <v>0</v>
      </c>
    </row>
    <row r="112" spans="1:17" x14ac:dyDescent="0.35">
      <c r="A112" t="str">
        <f>LOWER(Table1[[#This Row],[position]]) &amp; "_" &amp; TEXT(DATE(Table1[[#This Row],[season]], 1, 1), "yyyy") &amp; "_" &amp; LOWER(_xlfn.TEXTAFTER(Table1[[#This Row],[player_name]], " ", -1))</f>
        <v>rb_2021_harris</v>
      </c>
      <c r="B112" s="1" t="s">
        <v>156</v>
      </c>
      <c r="C112">
        <v>2021</v>
      </c>
      <c r="D112" s="1" t="s">
        <v>29</v>
      </c>
      <c r="E112" t="s">
        <v>162</v>
      </c>
      <c r="F112" cm="1">
        <f t="array" ref="F112">VALUE(INDEX(_xlfn.TEXTSPLIT(Table1[[#This Row],[player_id]], "_"), 2)) / Table1[[#This Row],[season]]</f>
        <v>1</v>
      </c>
      <c r="G112" s="1">
        <v>24</v>
      </c>
      <c r="H112" s="1">
        <v>23</v>
      </c>
      <c r="I112">
        <v>73</v>
      </c>
      <c r="J112">
        <v>242</v>
      </c>
      <c r="K112" s="1" t="s">
        <v>42</v>
      </c>
      <c r="L112">
        <v>55</v>
      </c>
      <c r="M112">
        <v>3843</v>
      </c>
      <c r="N112">
        <v>46</v>
      </c>
      <c r="O112">
        <v>300.7</v>
      </c>
      <c r="P112">
        <v>3</v>
      </c>
      <c r="Q112">
        <v>1</v>
      </c>
    </row>
    <row r="113" spans="1:17" x14ac:dyDescent="0.35">
      <c r="A113" t="str">
        <f>LOWER(Table1[[#This Row],[position]]) &amp; "_" &amp; TEXT(DATE(Table1[[#This Row],[season]], 1, 1), "yyyy") &amp; "_" &amp; LOWER(_xlfn.TEXTAFTER(Table1[[#This Row],[player_name]], " ", -1))</f>
        <v>rb_2021_etienne</v>
      </c>
      <c r="B113" s="1" t="s">
        <v>157</v>
      </c>
      <c r="C113">
        <v>2021</v>
      </c>
      <c r="D113" s="1" t="s">
        <v>29</v>
      </c>
      <c r="E113" t="s">
        <v>84</v>
      </c>
      <c r="F113" cm="1">
        <f t="array" ref="F113">VALUE(INDEX(_xlfn.TEXTSPLIT(Table1[[#This Row],[player_id]], "_"), 2)) / Table1[[#This Row],[season]]</f>
        <v>1</v>
      </c>
      <c r="G113" s="1">
        <v>25</v>
      </c>
      <c r="H113" s="1">
        <v>22</v>
      </c>
      <c r="I113">
        <v>70</v>
      </c>
      <c r="J113">
        <v>215</v>
      </c>
      <c r="K113" s="1" t="s">
        <v>92</v>
      </c>
      <c r="L113">
        <v>55</v>
      </c>
      <c r="M113">
        <v>4952</v>
      </c>
      <c r="N113">
        <v>70</v>
      </c>
      <c r="O113">
        <v>0</v>
      </c>
      <c r="P113">
        <v>999</v>
      </c>
      <c r="Q113">
        <v>0</v>
      </c>
    </row>
    <row r="114" spans="1:17" x14ac:dyDescent="0.35">
      <c r="A114" t="str">
        <f>LOWER(Table1[[#This Row],[position]]) &amp; "_" &amp; TEXT(DATE(Table1[[#This Row],[season]], 1, 1), "yyyy") &amp; "_" &amp; LOWER(_xlfn.TEXTAFTER(Table1[[#This Row],[player_name]], " ", -1))</f>
        <v>wr_2021_bateman</v>
      </c>
      <c r="B114" s="1" t="s">
        <v>158</v>
      </c>
      <c r="C114">
        <v>2021</v>
      </c>
      <c r="D114" s="1" t="s">
        <v>28</v>
      </c>
      <c r="E114" t="s">
        <v>38</v>
      </c>
      <c r="F114" cm="1">
        <f t="array" ref="F114">VALUE(INDEX(_xlfn.TEXTSPLIT(Table1[[#This Row],[player_id]], "_"), 2)) / Table1[[#This Row],[season]]</f>
        <v>1</v>
      </c>
      <c r="G114" s="1">
        <v>27</v>
      </c>
      <c r="H114" s="1">
        <v>21</v>
      </c>
      <c r="I114">
        <v>73</v>
      </c>
      <c r="J114">
        <v>193</v>
      </c>
      <c r="K114" s="1" t="s">
        <v>161</v>
      </c>
      <c r="L114">
        <v>31</v>
      </c>
      <c r="M114">
        <v>2395</v>
      </c>
      <c r="N114">
        <v>19</v>
      </c>
      <c r="O114">
        <v>96.5</v>
      </c>
      <c r="P114">
        <v>82</v>
      </c>
      <c r="Q114">
        <v>0</v>
      </c>
    </row>
    <row r="115" spans="1:17" x14ac:dyDescent="0.35">
      <c r="A115" t="str">
        <f>LOWER(Table1[[#This Row],[position]]) &amp; "_" &amp; TEXT(DATE(Table1[[#This Row],[season]], 1, 1), "yyyy") &amp; "_" &amp; LOWER(_xlfn.TEXTAFTER(Table1[[#This Row],[player_name]], " ", -1))</f>
        <v>wr_2022_london</v>
      </c>
      <c r="B115" s="1" t="s">
        <v>163</v>
      </c>
      <c r="C115">
        <v>2022</v>
      </c>
      <c r="D115" s="1" t="s">
        <v>28</v>
      </c>
      <c r="E115" t="s">
        <v>110</v>
      </c>
      <c r="F115" cm="1">
        <f t="array" ref="F115">VALUE(INDEX(_xlfn.TEXTSPLIT(Table1[[#This Row],[player_id]], "_"), 2)) / Table1[[#This Row],[season]]</f>
        <v>1</v>
      </c>
      <c r="G115" s="1">
        <v>8</v>
      </c>
      <c r="H115" s="1">
        <v>21</v>
      </c>
      <c r="I115">
        <v>77</v>
      </c>
      <c r="J115">
        <v>215</v>
      </c>
      <c r="K115" s="1" t="s">
        <v>47</v>
      </c>
      <c r="L115">
        <v>27</v>
      </c>
      <c r="M115">
        <v>2153</v>
      </c>
      <c r="N115">
        <v>15</v>
      </c>
      <c r="O115">
        <v>190.6</v>
      </c>
      <c r="P115">
        <v>31</v>
      </c>
      <c r="Q115">
        <v>1</v>
      </c>
    </row>
    <row r="116" spans="1:17" x14ac:dyDescent="0.35">
      <c r="A116" t="str">
        <f>LOWER(Table1[[#This Row],[position]]) &amp; "_" &amp; TEXT(DATE(Table1[[#This Row],[season]], 1, 1), "yyyy") &amp; "_" &amp; LOWER(_xlfn.TEXTAFTER(Table1[[#This Row],[player_name]], " ", -1))</f>
        <v>wr_2022_wilson</v>
      </c>
      <c r="B116" s="1" t="s">
        <v>164</v>
      </c>
      <c r="C116">
        <v>2022</v>
      </c>
      <c r="D116" s="1" t="s">
        <v>28</v>
      </c>
      <c r="E116" t="s">
        <v>107</v>
      </c>
      <c r="F116" cm="1">
        <f t="array" ref="F116">VALUE(INDEX(_xlfn.TEXTSPLIT(Table1[[#This Row],[player_id]], "_"), 2)) / Table1[[#This Row],[season]]</f>
        <v>1</v>
      </c>
      <c r="G116" s="1">
        <v>10</v>
      </c>
      <c r="H116" s="1">
        <v>22</v>
      </c>
      <c r="I116">
        <v>72</v>
      </c>
      <c r="J116">
        <v>183</v>
      </c>
      <c r="K116" s="1" t="s">
        <v>66</v>
      </c>
      <c r="L116">
        <v>33</v>
      </c>
      <c r="M116">
        <v>2213</v>
      </c>
      <c r="N116">
        <v>23</v>
      </c>
      <c r="O116">
        <v>227.1</v>
      </c>
      <c r="P116">
        <v>21</v>
      </c>
      <c r="Q116">
        <v>1</v>
      </c>
    </row>
    <row r="117" spans="1:17" x14ac:dyDescent="0.35">
      <c r="A117" t="str">
        <f>LOWER(Table1[[#This Row],[position]]) &amp; "_" &amp; TEXT(DATE(Table1[[#This Row],[season]], 1, 1), "yyyy") &amp; "_" &amp; LOWER(_xlfn.TEXTAFTER(Table1[[#This Row],[player_name]], " ", -1))</f>
        <v>wr_2022_olave</v>
      </c>
      <c r="B117" s="1" t="s">
        <v>165</v>
      </c>
      <c r="C117">
        <v>2022</v>
      </c>
      <c r="D117" s="1" t="s">
        <v>28</v>
      </c>
      <c r="E117" t="s">
        <v>172</v>
      </c>
      <c r="F117" cm="1">
        <f t="array" ref="F117">VALUE(INDEX(_xlfn.TEXTSPLIT(Table1[[#This Row],[player_id]], "_"), 2)) / Table1[[#This Row],[season]]</f>
        <v>1</v>
      </c>
      <c r="G117" s="1">
        <v>11</v>
      </c>
      <c r="H117" s="1">
        <v>22</v>
      </c>
      <c r="I117">
        <v>72</v>
      </c>
      <c r="J117">
        <v>187</v>
      </c>
      <c r="K117" s="1" t="s">
        <v>66</v>
      </c>
      <c r="L117">
        <v>47</v>
      </c>
      <c r="M117">
        <v>2711</v>
      </c>
      <c r="N117">
        <v>35</v>
      </c>
      <c r="O117">
        <v>234.2</v>
      </c>
      <c r="P117">
        <v>19</v>
      </c>
      <c r="Q117">
        <v>1</v>
      </c>
    </row>
    <row r="118" spans="1:17" x14ac:dyDescent="0.35">
      <c r="A118" t="str">
        <f>LOWER(Table1[[#This Row],[position]]) &amp; "_" &amp; TEXT(DATE(Table1[[#This Row],[season]], 1, 1), "yyyy") &amp; "_" &amp; LOWER(_xlfn.TEXTAFTER(Table1[[#This Row],[player_name]], " ", -1))</f>
        <v>wr_2022_williams</v>
      </c>
      <c r="B118" s="1" t="s">
        <v>166</v>
      </c>
      <c r="C118">
        <v>2022</v>
      </c>
      <c r="D118" s="1" t="s">
        <v>28</v>
      </c>
      <c r="E118" t="s">
        <v>128</v>
      </c>
      <c r="F118" cm="1">
        <f t="array" ref="F118">VALUE(INDEX(_xlfn.TEXTSPLIT(Table1[[#This Row],[player_id]], "_"), 2)) / Table1[[#This Row],[season]]</f>
        <v>1</v>
      </c>
      <c r="G118" s="1">
        <v>12</v>
      </c>
      <c r="H118" s="1">
        <v>21</v>
      </c>
      <c r="I118">
        <v>73</v>
      </c>
      <c r="J118">
        <v>182</v>
      </c>
      <c r="K118" s="1" t="s">
        <v>42</v>
      </c>
      <c r="L118">
        <v>34</v>
      </c>
      <c r="M118">
        <v>1838</v>
      </c>
      <c r="N118">
        <v>18</v>
      </c>
      <c r="O118">
        <v>15.3</v>
      </c>
      <c r="P118">
        <v>156</v>
      </c>
      <c r="Q118">
        <v>0</v>
      </c>
    </row>
    <row r="119" spans="1:17" x14ac:dyDescent="0.35">
      <c r="A119" t="str">
        <f>LOWER(Table1[[#This Row],[position]]) &amp; "_" &amp; TEXT(DATE(Table1[[#This Row],[season]], 1, 1), "yyyy") &amp; "_" &amp; LOWER(_xlfn.TEXTAFTER(Table1[[#This Row],[player_name]], " ", -1))</f>
        <v>wr_2022_dotson</v>
      </c>
      <c r="B119" s="1" t="s">
        <v>167</v>
      </c>
      <c r="C119">
        <v>2022</v>
      </c>
      <c r="D119" s="1" t="s">
        <v>28</v>
      </c>
      <c r="E119" t="s">
        <v>61</v>
      </c>
      <c r="F119" cm="1">
        <f t="array" ref="F119">VALUE(INDEX(_xlfn.TEXTSPLIT(Table1[[#This Row],[player_id]], "_"), 2)) / Table1[[#This Row],[season]]</f>
        <v>1</v>
      </c>
      <c r="G119" s="1">
        <v>16</v>
      </c>
      <c r="H119" s="1">
        <v>22</v>
      </c>
      <c r="I119">
        <v>71</v>
      </c>
      <c r="J119">
        <v>184</v>
      </c>
      <c r="K119" s="1" t="s">
        <v>114</v>
      </c>
      <c r="L119">
        <v>42</v>
      </c>
      <c r="M119">
        <v>2757</v>
      </c>
      <c r="N119">
        <v>25</v>
      </c>
      <c r="O119">
        <v>147.30000000000001</v>
      </c>
      <c r="P119">
        <v>47</v>
      </c>
      <c r="Q119">
        <v>0</v>
      </c>
    </row>
    <row r="120" spans="1:17" x14ac:dyDescent="0.35">
      <c r="A120" t="str">
        <f>LOWER(Table1[[#This Row],[position]]) &amp; "_" &amp; TEXT(DATE(Table1[[#This Row],[season]], 1, 1), "yyyy") &amp; "_" &amp; LOWER(_xlfn.TEXTAFTER(Table1[[#This Row],[player_name]], " ", -1))</f>
        <v>wr_2022_burks</v>
      </c>
      <c r="B120" s="1" t="s">
        <v>168</v>
      </c>
      <c r="C120">
        <v>2022</v>
      </c>
      <c r="D120" s="1" t="s">
        <v>28</v>
      </c>
      <c r="E120" t="s">
        <v>31</v>
      </c>
      <c r="F120" cm="1">
        <f t="array" ref="F120">VALUE(INDEX(_xlfn.TEXTSPLIT(Table1[[#This Row],[player_id]], "_"), 2)) / Table1[[#This Row],[season]]</f>
        <v>1</v>
      </c>
      <c r="G120" s="1">
        <v>18</v>
      </c>
      <c r="H120" s="1">
        <v>22</v>
      </c>
      <c r="I120">
        <v>74</v>
      </c>
      <c r="J120">
        <v>225</v>
      </c>
      <c r="K120" s="1" t="s">
        <v>170</v>
      </c>
      <c r="L120">
        <v>32</v>
      </c>
      <c r="M120">
        <v>2399</v>
      </c>
      <c r="N120">
        <v>18</v>
      </c>
      <c r="O120">
        <v>108.4</v>
      </c>
      <c r="P120">
        <v>65</v>
      </c>
      <c r="Q120">
        <v>0</v>
      </c>
    </row>
    <row r="121" spans="1:17" x14ac:dyDescent="0.35">
      <c r="A121" t="str">
        <f>LOWER(Table1[[#This Row],[position]]) &amp; "_" &amp; TEXT(DATE(Table1[[#This Row],[season]], 1, 1), "yyyy") &amp; "_" &amp; LOWER(_xlfn.TEXTAFTER(Table1[[#This Row],[player_name]], " ", -1))</f>
        <v>qb_2022_pickett</v>
      </c>
      <c r="B121" s="1" t="s">
        <v>169</v>
      </c>
      <c r="C121">
        <v>2022</v>
      </c>
      <c r="D121" s="1" t="s">
        <v>27</v>
      </c>
      <c r="E121" t="s">
        <v>162</v>
      </c>
      <c r="F121" cm="1">
        <f t="array" ref="F121">VALUE(INDEX(_xlfn.TEXTSPLIT(Table1[[#This Row],[player_id]], "_"), 2)) / Table1[[#This Row],[season]]</f>
        <v>1</v>
      </c>
      <c r="G121" s="1">
        <v>20</v>
      </c>
      <c r="H121" s="1">
        <v>24</v>
      </c>
      <c r="I121">
        <v>75</v>
      </c>
      <c r="J121">
        <v>220</v>
      </c>
      <c r="K121" s="1" t="s">
        <v>171</v>
      </c>
      <c r="L121">
        <v>52</v>
      </c>
      <c r="M121">
        <v>12303</v>
      </c>
      <c r="N121">
        <v>81</v>
      </c>
      <c r="O121">
        <v>183</v>
      </c>
      <c r="P121">
        <v>24</v>
      </c>
      <c r="Q121">
        <v>0</v>
      </c>
    </row>
    <row r="122" spans="1:17" x14ac:dyDescent="0.35">
      <c r="A122" t="str">
        <f>LOWER(Table1[[#This Row],[position]]) &amp; "_" &amp; TEXT(DATE(Table1[[#This Row],[season]], 1, 1), "yyyy") &amp; "_" &amp; LOWER(_xlfn.TEXTAFTER(Table1[[#This Row],[player_name]], " ", -1))</f>
        <v>qb_2023_young</v>
      </c>
      <c r="B122" s="1" t="s">
        <v>173</v>
      </c>
      <c r="C122">
        <v>2023</v>
      </c>
      <c r="D122" s="1" t="s">
        <v>27</v>
      </c>
      <c r="E122" t="s">
        <v>85</v>
      </c>
      <c r="F122" cm="1">
        <f t="array" ref="F122">VALUE(INDEX(_xlfn.TEXTSPLIT(Table1[[#This Row],[player_id]], "_"), 2)) / Table1[[#This Row],[season]]</f>
        <v>1</v>
      </c>
      <c r="G122" s="1">
        <v>1</v>
      </c>
      <c r="H122" s="1">
        <v>22</v>
      </c>
      <c r="I122">
        <v>70</v>
      </c>
      <c r="J122">
        <v>204</v>
      </c>
      <c r="K122" s="1" t="s">
        <v>42</v>
      </c>
      <c r="L122">
        <v>35</v>
      </c>
      <c r="M122">
        <v>8356</v>
      </c>
      <c r="N122">
        <v>80</v>
      </c>
      <c r="O122">
        <v>200.3</v>
      </c>
      <c r="P122">
        <v>23</v>
      </c>
      <c r="Q122">
        <v>0</v>
      </c>
    </row>
    <row r="123" spans="1:17" x14ac:dyDescent="0.35">
      <c r="A123" t="str">
        <f>LOWER(Table1[[#This Row],[position]]) &amp; "_" &amp; TEXT(DATE(Table1[[#This Row],[season]], 1, 1), "yyyy") &amp; "_" &amp; LOWER(_xlfn.TEXTAFTER(Table1[[#This Row],[player_name]], " ", -1))</f>
        <v>qb_2023_stroud</v>
      </c>
      <c r="B123" s="1" t="s">
        <v>174</v>
      </c>
      <c r="C123">
        <v>2023</v>
      </c>
      <c r="D123" s="1" t="s">
        <v>27</v>
      </c>
      <c r="E123" t="s">
        <v>60</v>
      </c>
      <c r="F123" cm="1">
        <f t="array" ref="F123">VALUE(INDEX(_xlfn.TEXTSPLIT(Table1[[#This Row],[player_id]], "_"), 2)) / Table1[[#This Row],[season]]</f>
        <v>1</v>
      </c>
      <c r="G123" s="1">
        <v>2</v>
      </c>
      <c r="H123" s="1">
        <v>21</v>
      </c>
      <c r="I123">
        <v>75</v>
      </c>
      <c r="J123">
        <v>218</v>
      </c>
      <c r="K123" s="1" t="s">
        <v>66</v>
      </c>
      <c r="L123">
        <v>27</v>
      </c>
      <c r="M123">
        <v>8123</v>
      </c>
      <c r="N123">
        <v>85</v>
      </c>
      <c r="O123">
        <v>328</v>
      </c>
      <c r="P123">
        <v>11</v>
      </c>
      <c r="Q123">
        <v>1</v>
      </c>
    </row>
    <row r="124" spans="1:17" x14ac:dyDescent="0.35">
      <c r="A124" t="str">
        <f>LOWER(Table1[[#This Row],[position]]) &amp; "_" &amp; TEXT(DATE(Table1[[#This Row],[season]], 1, 1), "yyyy") &amp; "_" &amp; LOWER(_xlfn.TEXTAFTER(Table1[[#This Row],[player_name]], " ", -1))</f>
        <v>qb_2023_richardson</v>
      </c>
      <c r="B124" s="1" t="s">
        <v>175</v>
      </c>
      <c r="C124">
        <v>2023</v>
      </c>
      <c r="D124" s="1" t="s">
        <v>27</v>
      </c>
      <c r="E124" t="s">
        <v>39</v>
      </c>
      <c r="F124" cm="1">
        <f t="array" ref="F124">VALUE(INDEX(_xlfn.TEXTSPLIT(Table1[[#This Row],[player_id]], "_"), 2)) / Table1[[#This Row],[season]]</f>
        <v>1</v>
      </c>
      <c r="G124" s="1">
        <v>4</v>
      </c>
      <c r="H124" s="1">
        <v>21</v>
      </c>
      <c r="I124">
        <v>76</v>
      </c>
      <c r="J124">
        <v>244</v>
      </c>
      <c r="K124" s="1" t="s">
        <v>160</v>
      </c>
      <c r="L124">
        <v>24</v>
      </c>
      <c r="M124">
        <v>3105</v>
      </c>
      <c r="N124">
        <v>24</v>
      </c>
      <c r="O124">
        <v>135</v>
      </c>
      <c r="P124">
        <v>33</v>
      </c>
      <c r="Q124">
        <v>0</v>
      </c>
    </row>
    <row r="125" spans="1:17" x14ac:dyDescent="0.35">
      <c r="A125" t="str">
        <f>LOWER(Table1[[#This Row],[position]]) &amp; "_" &amp; TEXT(DATE(Table1[[#This Row],[season]], 1, 1), "yyyy") &amp; "_" &amp; LOWER(_xlfn.TEXTAFTER(Table1[[#This Row],[player_name]], " ", -1))</f>
        <v>rb_2023_robinson</v>
      </c>
      <c r="B125" s="1" t="s">
        <v>176</v>
      </c>
      <c r="C125">
        <v>2023</v>
      </c>
      <c r="D125" s="1" t="s">
        <v>29</v>
      </c>
      <c r="E125" t="s">
        <v>110</v>
      </c>
      <c r="F125" cm="1">
        <f t="array" ref="F125">VALUE(INDEX(_xlfn.TEXTSPLIT(Table1[[#This Row],[player_id]], "_"), 2)) / Table1[[#This Row],[season]]</f>
        <v>1</v>
      </c>
      <c r="G125" s="1">
        <v>8</v>
      </c>
      <c r="H125" s="1">
        <v>21</v>
      </c>
      <c r="I125">
        <v>71</v>
      </c>
      <c r="J125">
        <v>215</v>
      </c>
      <c r="K125" s="1" t="s">
        <v>183</v>
      </c>
      <c r="L125">
        <v>31</v>
      </c>
      <c r="M125">
        <v>3410</v>
      </c>
      <c r="N125">
        <v>33</v>
      </c>
      <c r="O125">
        <v>272.89999999999998</v>
      </c>
      <c r="P125">
        <v>9</v>
      </c>
      <c r="Q125">
        <v>1</v>
      </c>
    </row>
    <row r="126" spans="1:17" x14ac:dyDescent="0.35">
      <c r="A126" t="str">
        <f>LOWER(Table1[[#This Row],[position]]) &amp; "_" &amp; TEXT(DATE(Table1[[#This Row],[season]], 1, 1), "yyyy") &amp; "_" &amp; LOWER(_xlfn.TEXTAFTER(Table1[[#This Row],[player_name]], " ", -1))</f>
        <v>rb_2023_gibbs</v>
      </c>
      <c r="B126" s="1" t="s">
        <v>177</v>
      </c>
      <c r="C126">
        <v>2023</v>
      </c>
      <c r="D126" s="1" t="s">
        <v>29</v>
      </c>
      <c r="E126" t="s">
        <v>128</v>
      </c>
      <c r="F126" cm="1">
        <f t="array" ref="F126">VALUE(INDEX(_xlfn.TEXTSPLIT(Table1[[#This Row],[player_id]], "_"), 2)) / Table1[[#This Row],[season]]</f>
        <v>1</v>
      </c>
      <c r="G126" s="1">
        <v>12</v>
      </c>
      <c r="H126" s="1">
        <v>21</v>
      </c>
      <c r="I126">
        <v>69</v>
      </c>
      <c r="J126">
        <v>202</v>
      </c>
      <c r="K126" s="1" t="s">
        <v>42</v>
      </c>
      <c r="L126">
        <v>31</v>
      </c>
      <c r="M126">
        <v>2132</v>
      </c>
      <c r="N126">
        <v>15</v>
      </c>
      <c r="O126">
        <v>271.89999999999998</v>
      </c>
      <c r="P126">
        <v>10</v>
      </c>
      <c r="Q126">
        <v>1</v>
      </c>
    </row>
    <row r="127" spans="1:17" x14ac:dyDescent="0.35">
      <c r="A127" t="str">
        <f>LOWER(Table1[[#This Row],[position]]) &amp; "_" &amp; TEXT(DATE(Table1[[#This Row],[season]], 1, 1), "yyyy") &amp; "_" &amp; LOWER(_xlfn.TEXTAFTER(Table1[[#This Row],[player_name]], " ", -1))</f>
        <v>wr_2023_smith-njigba</v>
      </c>
      <c r="B127" s="1" t="s">
        <v>178</v>
      </c>
      <c r="C127">
        <v>2023</v>
      </c>
      <c r="D127" s="1" t="s">
        <v>28</v>
      </c>
      <c r="E127" t="s">
        <v>111</v>
      </c>
      <c r="F127" cm="1">
        <f t="array" ref="F127">VALUE(INDEX(_xlfn.TEXTSPLIT(Table1[[#This Row],[player_id]], "_"), 2)) / Table1[[#This Row],[season]]</f>
        <v>1</v>
      </c>
      <c r="G127" s="1">
        <v>20</v>
      </c>
      <c r="H127" s="1">
        <v>21</v>
      </c>
      <c r="I127">
        <v>72</v>
      </c>
      <c r="J127">
        <v>197</v>
      </c>
      <c r="K127" s="1" t="s">
        <v>66</v>
      </c>
      <c r="L127">
        <v>23</v>
      </c>
      <c r="M127">
        <v>1698</v>
      </c>
      <c r="N127">
        <v>10</v>
      </c>
      <c r="O127">
        <v>147.80000000000001</v>
      </c>
      <c r="P127">
        <v>49</v>
      </c>
      <c r="Q127">
        <v>0</v>
      </c>
    </row>
    <row r="128" spans="1:17" x14ac:dyDescent="0.35">
      <c r="A128" t="str">
        <f>LOWER(Table1[[#This Row],[position]]) &amp; "_" &amp; TEXT(DATE(Table1[[#This Row],[season]], 1, 1), "yyyy") &amp; "_" &amp; LOWER(_xlfn.TEXTAFTER(Table1[[#This Row],[player_name]], " ", -1))</f>
        <v>wr_2023_johnston</v>
      </c>
      <c r="B128" s="1" t="s">
        <v>179</v>
      </c>
      <c r="C128">
        <v>2023</v>
      </c>
      <c r="D128" s="1" t="s">
        <v>28</v>
      </c>
      <c r="E128" t="s">
        <v>36</v>
      </c>
      <c r="F128" cm="1">
        <f t="array" ref="F128">VALUE(INDEX(_xlfn.TEXTSPLIT(Table1[[#This Row],[player_id]], "_"), 2)) / Table1[[#This Row],[season]]</f>
        <v>1</v>
      </c>
      <c r="G128" s="1">
        <v>21</v>
      </c>
      <c r="H128" s="1">
        <v>22</v>
      </c>
      <c r="I128">
        <v>74</v>
      </c>
      <c r="J128">
        <v>208</v>
      </c>
      <c r="K128" s="1" t="s">
        <v>69</v>
      </c>
      <c r="L128">
        <v>32</v>
      </c>
      <c r="M128">
        <v>2190</v>
      </c>
      <c r="N128">
        <v>14</v>
      </c>
      <c r="O128">
        <v>88.1</v>
      </c>
      <c r="P128">
        <v>68</v>
      </c>
      <c r="Q128">
        <v>0</v>
      </c>
    </row>
    <row r="129" spans="1:17" x14ac:dyDescent="0.35">
      <c r="A129" t="str">
        <f>LOWER(Table1[[#This Row],[position]]) &amp; "_" &amp; TEXT(DATE(Table1[[#This Row],[season]], 1, 1), "yyyy") &amp; "_" &amp; LOWER(_xlfn.TEXTAFTER(Table1[[#This Row],[player_name]], " ", -1))</f>
        <v>wr_2023_flowers</v>
      </c>
      <c r="B129" s="1" t="s">
        <v>180</v>
      </c>
      <c r="C129">
        <v>2023</v>
      </c>
      <c r="D129" s="1" t="s">
        <v>28</v>
      </c>
      <c r="E129" t="s">
        <v>38</v>
      </c>
      <c r="F129" cm="1">
        <f t="array" ref="F129">VALUE(INDEX(_xlfn.TEXTSPLIT(Table1[[#This Row],[player_id]], "_"), 2)) / Table1[[#This Row],[season]]</f>
        <v>1</v>
      </c>
      <c r="G129" s="1">
        <v>22</v>
      </c>
      <c r="H129" s="1">
        <v>22</v>
      </c>
      <c r="I129">
        <v>69</v>
      </c>
      <c r="J129">
        <v>183</v>
      </c>
      <c r="K129" s="1" t="s">
        <v>184</v>
      </c>
      <c r="L129">
        <v>48</v>
      </c>
      <c r="M129">
        <v>3056</v>
      </c>
      <c r="N129">
        <v>29</v>
      </c>
      <c r="O129">
        <v>216.8</v>
      </c>
      <c r="P129">
        <v>30</v>
      </c>
      <c r="Q129">
        <v>1</v>
      </c>
    </row>
    <row r="130" spans="1:17" x14ac:dyDescent="0.35">
      <c r="A130" t="str">
        <f>LOWER(Table1[[#This Row],[position]]) &amp; "_" &amp; TEXT(DATE(Table1[[#This Row],[season]], 1, 1), "yyyy") &amp; "_" &amp; LOWER(_xlfn.TEXTAFTER(Table1[[#This Row],[player_name]], " ", -1))</f>
        <v>wr_2023_addison</v>
      </c>
      <c r="B130" s="1" t="s">
        <v>181</v>
      </c>
      <c r="C130">
        <v>2023</v>
      </c>
      <c r="D130" s="1" t="s">
        <v>28</v>
      </c>
      <c r="E130" t="s">
        <v>62</v>
      </c>
      <c r="F130" cm="1">
        <f t="array" ref="F130">VALUE(INDEX(_xlfn.TEXTSPLIT(Table1[[#This Row],[player_id]], "_"), 2)) / Table1[[#This Row],[season]]</f>
        <v>1</v>
      </c>
      <c r="G130" s="1">
        <v>23</v>
      </c>
      <c r="H130" s="1">
        <v>21</v>
      </c>
      <c r="I130">
        <v>71</v>
      </c>
      <c r="J130">
        <v>179</v>
      </c>
      <c r="K130" s="1" t="s">
        <v>47</v>
      </c>
      <c r="L130">
        <v>35</v>
      </c>
      <c r="M130">
        <v>3134</v>
      </c>
      <c r="N130">
        <v>29</v>
      </c>
      <c r="O130">
        <v>241.1</v>
      </c>
      <c r="P130">
        <v>23</v>
      </c>
      <c r="Q130">
        <v>1</v>
      </c>
    </row>
    <row r="131" spans="1:17" x14ac:dyDescent="0.35">
      <c r="A131" t="str">
        <f>LOWER(Table1[[#This Row],[position]]) &amp; "_" &amp; TEXT(DATE(Table1[[#This Row],[season]], 1, 1), "yyyy") &amp; "_" &amp; LOWER(_xlfn.TEXTAFTER(Table1[[#This Row],[player_name]], " ", -1))</f>
        <v>te_2023_kincaid</v>
      </c>
      <c r="B131" s="1" t="s">
        <v>182</v>
      </c>
      <c r="C131">
        <v>2023</v>
      </c>
      <c r="D131" s="1" t="s">
        <v>83</v>
      </c>
      <c r="E131" t="s">
        <v>108</v>
      </c>
      <c r="F131" cm="1">
        <f t="array" ref="F131">VALUE(INDEX(_xlfn.TEXTSPLIT(Table1[[#This Row],[player_id]], "_"), 2)) / Table1[[#This Row],[season]]</f>
        <v>1</v>
      </c>
      <c r="G131" s="1">
        <v>25</v>
      </c>
      <c r="H131" s="1">
        <v>23</v>
      </c>
      <c r="I131">
        <v>76</v>
      </c>
      <c r="J131">
        <v>240</v>
      </c>
      <c r="K131" s="1" t="s">
        <v>185</v>
      </c>
      <c r="L131">
        <v>31</v>
      </c>
      <c r="M131">
        <v>1414</v>
      </c>
      <c r="N131">
        <v>16</v>
      </c>
      <c r="O131">
        <v>157.30000000000001</v>
      </c>
      <c r="P131">
        <v>11</v>
      </c>
      <c r="Q131">
        <v>1</v>
      </c>
    </row>
    <row r="132" spans="1:17" x14ac:dyDescent="0.35">
      <c r="A132" t="str">
        <f>LOWER(Table1[[#This Row],[position]]) &amp; "_" &amp; TEXT(DATE(Table1[[#This Row],[season]], 1, 1), "yyyy") &amp; "_" &amp; LOWER(_xlfn.TEXTAFTER(Table1[[#This Row],[player_name]], " ", -1))</f>
        <v>qb_2024_williams</v>
      </c>
      <c r="B132" s="1" t="s">
        <v>186</v>
      </c>
      <c r="C132">
        <v>2024</v>
      </c>
      <c r="D132" s="1" t="s">
        <v>27</v>
      </c>
      <c r="E132" t="s">
        <v>33</v>
      </c>
      <c r="F132" cm="1">
        <f t="array" ref="F132">VALUE(INDEX(_xlfn.TEXTSPLIT(Table1[[#This Row],[player_id]], "_"), 2)) / Table1[[#This Row],[season]]</f>
        <v>1</v>
      </c>
      <c r="G132" s="1">
        <v>1</v>
      </c>
      <c r="H132" s="1">
        <v>22</v>
      </c>
      <c r="I132">
        <v>73</v>
      </c>
      <c r="J132">
        <v>226</v>
      </c>
      <c r="K132" s="1" t="s">
        <v>47</v>
      </c>
      <c r="L132">
        <v>37</v>
      </c>
      <c r="M132">
        <v>10082</v>
      </c>
      <c r="N132">
        <v>93</v>
      </c>
      <c r="O132">
        <v>285.39999999999998</v>
      </c>
      <c r="P132">
        <v>17</v>
      </c>
      <c r="Q132">
        <v>0</v>
      </c>
    </row>
    <row r="133" spans="1:17" x14ac:dyDescent="0.35">
      <c r="A133" t="str">
        <f>LOWER(Table1[[#This Row],[position]]) &amp; "_" &amp; TEXT(DATE(Table1[[#This Row],[season]], 1, 1), "yyyy") &amp; "_" &amp; LOWER(_xlfn.TEXTAFTER(Table1[[#This Row],[player_name]], " ", -1))</f>
        <v>qb_2024_daniels</v>
      </c>
      <c r="B133" s="1" t="s">
        <v>187</v>
      </c>
      <c r="C133">
        <v>2024</v>
      </c>
      <c r="D133" s="1" t="s">
        <v>27</v>
      </c>
      <c r="E133" t="s">
        <v>61</v>
      </c>
      <c r="F133" cm="1">
        <f t="array" ref="F133">VALUE(INDEX(_xlfn.TEXTSPLIT(Table1[[#This Row],[player_id]], "_"), 2)) / Table1[[#This Row],[season]]</f>
        <v>1</v>
      </c>
      <c r="G133" s="1">
        <v>2</v>
      </c>
      <c r="H133" s="1">
        <v>23</v>
      </c>
      <c r="I133">
        <v>76</v>
      </c>
      <c r="J133">
        <v>210</v>
      </c>
      <c r="K133" s="1" t="s">
        <v>90</v>
      </c>
      <c r="L133">
        <v>55</v>
      </c>
      <c r="M133">
        <v>12749</v>
      </c>
      <c r="N133">
        <v>89</v>
      </c>
      <c r="O133">
        <v>392.7</v>
      </c>
      <c r="P133">
        <v>5</v>
      </c>
      <c r="Q133">
        <v>1</v>
      </c>
    </row>
    <row r="134" spans="1:17" x14ac:dyDescent="0.35">
      <c r="A134" t="str">
        <f>LOWER(Table1[[#This Row],[position]]) &amp; "_" &amp; TEXT(DATE(Table1[[#This Row],[season]], 1, 1), "yyyy") &amp; "_" &amp; LOWER(_xlfn.TEXTAFTER(Table1[[#This Row],[player_name]], " ", -1))</f>
        <v>qb_2024_maye</v>
      </c>
      <c r="B134" s="1" t="s">
        <v>188</v>
      </c>
      <c r="C134">
        <v>2024</v>
      </c>
      <c r="D134" s="1" t="s">
        <v>27</v>
      </c>
      <c r="E134" t="s">
        <v>112</v>
      </c>
      <c r="F134" cm="1">
        <f t="array" ref="F134">VALUE(INDEX(_xlfn.TEXTSPLIT(Table1[[#This Row],[player_id]], "_"), 2)) / Table1[[#This Row],[season]]</f>
        <v>1</v>
      </c>
      <c r="G134" s="1">
        <v>3</v>
      </c>
      <c r="H134" s="1">
        <v>22</v>
      </c>
      <c r="I134">
        <v>77</v>
      </c>
      <c r="J134">
        <v>225</v>
      </c>
      <c r="K134" s="1" t="s">
        <v>89</v>
      </c>
      <c r="L134">
        <v>30</v>
      </c>
      <c r="M134">
        <v>8018</v>
      </c>
      <c r="N134">
        <v>63</v>
      </c>
      <c r="O134">
        <v>198.3</v>
      </c>
      <c r="P134">
        <v>27</v>
      </c>
      <c r="Q134">
        <v>0</v>
      </c>
    </row>
    <row r="135" spans="1:17" x14ac:dyDescent="0.35">
      <c r="A135" t="str">
        <f>LOWER(Table1[[#This Row],[position]]) &amp; "_" &amp; TEXT(DATE(Table1[[#This Row],[season]], 1, 1), "yyyy") &amp; "_" &amp; LOWER(_xlfn.TEXTAFTER(Table1[[#This Row],[player_name]], " ", -1))</f>
        <v>wr_2024_harrison-jr.</v>
      </c>
      <c r="B135" s="1" t="s">
        <v>213</v>
      </c>
      <c r="C135">
        <v>2024</v>
      </c>
      <c r="D135" s="1" t="s">
        <v>28</v>
      </c>
      <c r="E135" t="s">
        <v>109</v>
      </c>
      <c r="F135" cm="1">
        <f t="array" ref="F135">VALUE(INDEX(_xlfn.TEXTSPLIT(Table1[[#This Row],[player_id]], "_"), 2)) / Table1[[#This Row],[season]]</f>
        <v>1</v>
      </c>
      <c r="G135" s="1">
        <v>4</v>
      </c>
      <c r="H135" s="1">
        <v>22</v>
      </c>
      <c r="I135">
        <v>75</v>
      </c>
      <c r="J135">
        <v>220</v>
      </c>
      <c r="K135" s="1" t="s">
        <v>66</v>
      </c>
      <c r="L135">
        <v>38</v>
      </c>
      <c r="M135">
        <v>2613</v>
      </c>
      <c r="N135">
        <v>31</v>
      </c>
      <c r="O135">
        <v>246.8</v>
      </c>
      <c r="P135">
        <v>20</v>
      </c>
      <c r="Q135">
        <v>1</v>
      </c>
    </row>
    <row r="136" spans="1:17" x14ac:dyDescent="0.35">
      <c r="A136" t="str">
        <f>LOWER(Table1[[#This Row],[position]]) &amp; "_" &amp; TEXT(DATE(Table1[[#This Row],[season]], 1, 1), "yyyy") &amp; "_" &amp; LOWER(_xlfn.TEXTAFTER(Table1[[#This Row],[player_name]], " ", -1))</f>
        <v>wr_2024_nabers</v>
      </c>
      <c r="B136" s="1" t="s">
        <v>189</v>
      </c>
      <c r="C136">
        <v>2024</v>
      </c>
      <c r="D136" s="1" t="s">
        <v>28</v>
      </c>
      <c r="E136" t="s">
        <v>88</v>
      </c>
      <c r="F136" cm="1">
        <f t="array" ref="F136">VALUE(INDEX(_xlfn.TEXTSPLIT(Table1[[#This Row],[player_id]], "_"), 2)) / Table1[[#This Row],[season]]</f>
        <v>1</v>
      </c>
      <c r="G136" s="1">
        <v>6</v>
      </c>
      <c r="H136" s="1">
        <v>21</v>
      </c>
      <c r="I136">
        <v>72</v>
      </c>
      <c r="J136">
        <v>200</v>
      </c>
      <c r="K136" s="1" t="s">
        <v>90</v>
      </c>
      <c r="L136">
        <v>38</v>
      </c>
      <c r="M136">
        <v>3003</v>
      </c>
      <c r="N136">
        <v>21</v>
      </c>
      <c r="O136">
        <v>301.2</v>
      </c>
      <c r="P136">
        <v>8</v>
      </c>
      <c r="Q136">
        <v>1</v>
      </c>
    </row>
    <row r="137" spans="1:17" x14ac:dyDescent="0.35">
      <c r="A137" t="str">
        <f>LOWER(Table1[[#This Row],[position]]) &amp; "_" &amp; TEXT(DATE(Table1[[#This Row],[season]], 1, 1), "yyyy") &amp; "_" &amp; LOWER(_xlfn.TEXTAFTER(Table1[[#This Row],[player_name]], " ", -1))</f>
        <v>qb_2024_penix</v>
      </c>
      <c r="B137" s="1" t="s">
        <v>190</v>
      </c>
      <c r="C137">
        <v>2024</v>
      </c>
      <c r="D137" s="1" t="s">
        <v>27</v>
      </c>
      <c r="E137" t="s">
        <v>110</v>
      </c>
      <c r="F137" cm="1">
        <f t="array" ref="F137">VALUE(INDEX(_xlfn.TEXTSPLIT(Table1[[#This Row],[player_id]], "_"), 2)) / Table1[[#This Row],[season]]</f>
        <v>1</v>
      </c>
      <c r="G137" s="1">
        <v>8</v>
      </c>
      <c r="H137" s="1">
        <v>24</v>
      </c>
      <c r="I137">
        <v>75</v>
      </c>
      <c r="J137">
        <v>220</v>
      </c>
      <c r="K137" s="1" t="s">
        <v>94</v>
      </c>
      <c r="L137">
        <v>48</v>
      </c>
      <c r="M137">
        <v>13741</v>
      </c>
      <c r="N137">
        <v>96</v>
      </c>
      <c r="O137">
        <v>21.7</v>
      </c>
      <c r="P137">
        <v>52</v>
      </c>
      <c r="Q137">
        <v>0</v>
      </c>
    </row>
    <row r="138" spans="1:17" x14ac:dyDescent="0.35">
      <c r="A138" t="str">
        <f>LOWER(Table1[[#This Row],[position]]) &amp; "_" &amp; TEXT(DATE(Table1[[#This Row],[season]], 1, 1), "yyyy") &amp; "_" &amp; LOWER(_xlfn.TEXTAFTER(Table1[[#This Row],[player_name]], " ", -1))</f>
        <v>wr_2024_odunze</v>
      </c>
      <c r="B138" s="1" t="s">
        <v>191</v>
      </c>
      <c r="C138">
        <v>2024</v>
      </c>
      <c r="D138" s="1" t="s">
        <v>28</v>
      </c>
      <c r="E138" t="s">
        <v>33</v>
      </c>
      <c r="F138" cm="1">
        <f t="array" ref="F138">VALUE(INDEX(_xlfn.TEXTSPLIT(Table1[[#This Row],[player_id]], "_"), 2)) / Table1[[#This Row],[season]]</f>
        <v>1</v>
      </c>
      <c r="G138" s="1">
        <v>9</v>
      </c>
      <c r="H138" s="1">
        <v>22</v>
      </c>
      <c r="I138">
        <v>75</v>
      </c>
      <c r="J138">
        <v>214</v>
      </c>
      <c r="K138" s="1" t="s">
        <v>94</v>
      </c>
      <c r="L138">
        <v>40</v>
      </c>
      <c r="M138">
        <v>3272</v>
      </c>
      <c r="N138">
        <v>24</v>
      </c>
      <c r="O138">
        <v>181.6</v>
      </c>
      <c r="P138">
        <v>39</v>
      </c>
      <c r="Q138">
        <v>0</v>
      </c>
    </row>
    <row r="139" spans="1:17" x14ac:dyDescent="0.35">
      <c r="A139" t="str">
        <f>LOWER(Table1[[#This Row],[position]]) &amp; "_" &amp; TEXT(DATE(Table1[[#This Row],[season]], 1, 1), "yyyy") &amp; "_" &amp; LOWER(_xlfn.TEXTAFTER(Table1[[#This Row],[player_name]], " ", -1))</f>
        <v>qb_2024_mccarthy</v>
      </c>
      <c r="B139" s="1" t="s">
        <v>192</v>
      </c>
      <c r="C139">
        <v>2024</v>
      </c>
      <c r="D139" s="1" t="s">
        <v>27</v>
      </c>
      <c r="E139" t="s">
        <v>62</v>
      </c>
      <c r="F139" cm="1">
        <f t="array" ref="F139">VALUE(INDEX(_xlfn.TEXTSPLIT(Table1[[#This Row],[player_id]], "_"), 2)) / Table1[[#This Row],[season]]</f>
        <v>1</v>
      </c>
      <c r="G139" s="1">
        <v>10</v>
      </c>
      <c r="H139" s="1">
        <v>21</v>
      </c>
      <c r="I139">
        <v>75</v>
      </c>
      <c r="J139">
        <v>219</v>
      </c>
      <c r="K139" s="1" t="s">
        <v>199</v>
      </c>
      <c r="L139">
        <v>40</v>
      </c>
      <c r="M139">
        <v>6226</v>
      </c>
      <c r="N139">
        <v>49</v>
      </c>
      <c r="O139">
        <v>0</v>
      </c>
      <c r="P139">
        <v>999</v>
      </c>
      <c r="Q139">
        <v>0</v>
      </c>
    </row>
    <row r="140" spans="1:17" x14ac:dyDescent="0.35">
      <c r="A140" t="str">
        <f>LOWER(Table1[[#This Row],[position]]) &amp; "_" &amp; TEXT(DATE(Table1[[#This Row],[season]], 1, 1), "yyyy") &amp; "_" &amp; LOWER(_xlfn.TEXTAFTER(Table1[[#This Row],[player_name]], " ", -1))</f>
        <v>qb_2024_nix</v>
      </c>
      <c r="B140" s="1" t="s">
        <v>193</v>
      </c>
      <c r="C140">
        <v>2024</v>
      </c>
      <c r="D140" s="1" t="s">
        <v>27</v>
      </c>
      <c r="E140" t="s">
        <v>63</v>
      </c>
      <c r="F140" cm="1">
        <f t="array" ref="F140">VALUE(INDEX(_xlfn.TEXTSPLIT(Table1[[#This Row],[player_id]], "_"), 2)) / Table1[[#This Row],[season]]</f>
        <v>1</v>
      </c>
      <c r="G140" s="1">
        <v>12</v>
      </c>
      <c r="H140" s="1">
        <v>24</v>
      </c>
      <c r="I140">
        <v>74</v>
      </c>
      <c r="J140">
        <v>217</v>
      </c>
      <c r="K140" s="1" t="s">
        <v>41</v>
      </c>
      <c r="L140">
        <v>61</v>
      </c>
      <c r="M140">
        <v>15351</v>
      </c>
      <c r="N140">
        <v>113</v>
      </c>
      <c r="O140">
        <v>318.5</v>
      </c>
      <c r="P140">
        <v>12</v>
      </c>
      <c r="Q140">
        <v>1</v>
      </c>
    </row>
    <row r="141" spans="1:17" x14ac:dyDescent="0.35">
      <c r="A141" t="str">
        <f>LOWER(Table1[[#This Row],[position]]) &amp; "_" &amp; TEXT(DATE(Table1[[#This Row],[season]], 1, 1), "yyyy") &amp; "_" &amp; LOWER(_xlfn.TEXTAFTER(Table1[[#This Row],[player_name]], " ", -1))</f>
        <v>te_2024_bowers</v>
      </c>
      <c r="B141" s="1" t="s">
        <v>194</v>
      </c>
      <c r="C141">
        <v>2024</v>
      </c>
      <c r="D141" s="1" t="s">
        <v>83</v>
      </c>
      <c r="E141" t="s">
        <v>32</v>
      </c>
      <c r="F141" cm="1">
        <f t="array" ref="F141">VALUE(INDEX(_xlfn.TEXTSPLIT(Table1[[#This Row],[player_id]], "_"), 2)) / Table1[[#This Row],[season]]</f>
        <v>1</v>
      </c>
      <c r="G141" s="1">
        <v>13</v>
      </c>
      <c r="H141" s="1">
        <v>21</v>
      </c>
      <c r="I141">
        <v>76</v>
      </c>
      <c r="J141">
        <v>235</v>
      </c>
      <c r="K141" s="1" t="s">
        <v>44</v>
      </c>
      <c r="L141">
        <v>40</v>
      </c>
      <c r="M141">
        <v>2538</v>
      </c>
      <c r="N141">
        <v>26</v>
      </c>
      <c r="O141">
        <v>242.4</v>
      </c>
      <c r="P141">
        <v>1</v>
      </c>
      <c r="Q141">
        <v>1</v>
      </c>
    </row>
    <row r="142" spans="1:17" x14ac:dyDescent="0.35">
      <c r="A142" t="str">
        <f>LOWER(Table1[[#This Row],[position]]) &amp; "_" &amp; TEXT(DATE(Table1[[#This Row],[season]], 1, 1), "yyyy") &amp; "_" &amp; LOWER(_xlfn.TEXTAFTER(Table1[[#This Row],[player_name]], " ", -1))</f>
        <v>wr_2024_thomas</v>
      </c>
      <c r="B142" s="1" t="s">
        <v>195</v>
      </c>
      <c r="C142">
        <v>2024</v>
      </c>
      <c r="D142" s="1" t="s">
        <v>28</v>
      </c>
      <c r="E142" t="s">
        <v>84</v>
      </c>
      <c r="F142" cm="1">
        <f t="array" ref="F142">VALUE(INDEX(_xlfn.TEXTSPLIT(Table1[[#This Row],[player_id]], "_"), 2)) / Table1[[#This Row],[season]]</f>
        <v>1</v>
      </c>
      <c r="G142" s="1">
        <v>23</v>
      </c>
      <c r="H142" s="1">
        <v>21</v>
      </c>
      <c r="I142">
        <v>74</v>
      </c>
      <c r="J142">
        <v>209</v>
      </c>
      <c r="K142" s="1" t="s">
        <v>90</v>
      </c>
      <c r="L142">
        <v>38</v>
      </c>
      <c r="M142">
        <v>1897</v>
      </c>
      <c r="N142">
        <v>24</v>
      </c>
      <c r="O142">
        <v>287.89999999999998</v>
      </c>
      <c r="P142">
        <v>10</v>
      </c>
      <c r="Q142">
        <v>1</v>
      </c>
    </row>
    <row r="143" spans="1:17" x14ac:dyDescent="0.35">
      <c r="A143" t="str">
        <f>LOWER(Table1[[#This Row],[position]]) &amp; "_" &amp; TEXT(DATE(Table1[[#This Row],[season]], 1, 1), "yyyy") &amp; "_" &amp; LOWER(_xlfn.TEXTAFTER(Table1[[#This Row],[player_name]], " ", -1))</f>
        <v>wr_2024_worthy</v>
      </c>
      <c r="B143" s="1" t="s">
        <v>196</v>
      </c>
      <c r="C143">
        <v>2024</v>
      </c>
      <c r="D143" s="1" t="s">
        <v>28</v>
      </c>
      <c r="E143" t="s">
        <v>87</v>
      </c>
      <c r="F143" cm="1">
        <f t="array" ref="F143">VALUE(INDEX(_xlfn.TEXTSPLIT(Table1[[#This Row],[player_id]], "_"), 2)) / Table1[[#This Row],[season]]</f>
        <v>1</v>
      </c>
      <c r="G143" s="1">
        <v>28</v>
      </c>
      <c r="H143" s="1">
        <v>21</v>
      </c>
      <c r="I143">
        <v>71</v>
      </c>
      <c r="J143">
        <v>165</v>
      </c>
      <c r="K143" s="1" t="s">
        <v>183</v>
      </c>
      <c r="L143">
        <v>39</v>
      </c>
      <c r="M143">
        <v>2755</v>
      </c>
      <c r="N143">
        <v>26</v>
      </c>
      <c r="O143">
        <v>224.1</v>
      </c>
      <c r="P143">
        <v>24</v>
      </c>
      <c r="Q143">
        <v>1</v>
      </c>
    </row>
    <row r="144" spans="1:17" x14ac:dyDescent="0.35">
      <c r="A144" t="str">
        <f>LOWER(Table1[[#This Row],[position]]) &amp; "_" &amp; TEXT(DATE(Table1[[#This Row],[season]], 1, 1), "yyyy") &amp; "_" &amp; LOWER(_xlfn.TEXTAFTER(Table1[[#This Row],[player_name]], " ", -1))</f>
        <v>wr_2024_pearsall</v>
      </c>
      <c r="B144" s="1" t="s">
        <v>197</v>
      </c>
      <c r="C144">
        <v>2024</v>
      </c>
      <c r="D144" s="1" t="s">
        <v>28</v>
      </c>
      <c r="E144" t="s">
        <v>144</v>
      </c>
      <c r="F144" cm="1">
        <f t="array" ref="F144">VALUE(INDEX(_xlfn.TEXTSPLIT(Table1[[#This Row],[player_id]], "_"), 2)) / Table1[[#This Row],[season]]</f>
        <v>1</v>
      </c>
      <c r="G144" s="1">
        <v>31</v>
      </c>
      <c r="H144" s="1">
        <v>23</v>
      </c>
      <c r="I144">
        <v>73</v>
      </c>
      <c r="J144">
        <v>189</v>
      </c>
      <c r="K144" s="1" t="s">
        <v>160</v>
      </c>
      <c r="L144">
        <v>55</v>
      </c>
      <c r="M144">
        <v>2420</v>
      </c>
      <c r="N144">
        <v>14</v>
      </c>
      <c r="O144">
        <v>126.2</v>
      </c>
      <c r="P144">
        <v>58</v>
      </c>
      <c r="Q144">
        <v>0</v>
      </c>
    </row>
    <row r="145" spans="1:17" x14ac:dyDescent="0.35">
      <c r="A145" t="str">
        <f>LOWER(Table1[[#This Row],[position]]) &amp; "_" &amp; TEXT(DATE(Table1[[#This Row],[season]], 1, 1), "yyyy") &amp; "_" &amp; LOWER(_xlfn.TEXTAFTER(Table1[[#This Row],[player_name]], " ", -1))</f>
        <v>wr_2024_legette</v>
      </c>
      <c r="B145" s="1" t="s">
        <v>198</v>
      </c>
      <c r="C145">
        <v>2024</v>
      </c>
      <c r="D145" s="1" t="s">
        <v>28</v>
      </c>
      <c r="E145" t="s">
        <v>85</v>
      </c>
      <c r="F145" cm="1">
        <f t="array" ref="F145">VALUE(INDEX(_xlfn.TEXTSPLIT(Table1[[#This Row],[player_id]], "_"), 2)) / Table1[[#This Row],[season]]</f>
        <v>1</v>
      </c>
      <c r="G145" s="1">
        <v>32</v>
      </c>
      <c r="H145" s="1">
        <v>23</v>
      </c>
      <c r="I145">
        <v>75</v>
      </c>
      <c r="J145">
        <v>227</v>
      </c>
      <c r="K145" s="1" t="s">
        <v>118</v>
      </c>
      <c r="L145">
        <v>53</v>
      </c>
      <c r="M145">
        <v>1678</v>
      </c>
      <c r="N145">
        <v>12</v>
      </c>
      <c r="O145">
        <v>141.5</v>
      </c>
      <c r="P145">
        <v>49</v>
      </c>
      <c r="Q145">
        <v>0</v>
      </c>
    </row>
    <row r="146" spans="1:17" x14ac:dyDescent="0.35">
      <c r="A146" t="str">
        <f>LOWER(Table1[[#This Row],[position]]) &amp; "_" &amp; TEXT(DATE(Table1[[#This Row],[season]], 1, 1), "yyyy") &amp; "_" &amp; LOWER(_xlfn.TEXTAFTER(Table1[[#This Row],[player_name]], " ", -1))</f>
        <v>qb_2025_ward</v>
      </c>
      <c r="B146" s="1" t="s">
        <v>200</v>
      </c>
      <c r="C146">
        <v>2025</v>
      </c>
      <c r="D146" s="1" t="s">
        <v>27</v>
      </c>
      <c r="E146" t="s">
        <v>31</v>
      </c>
      <c r="F146" cm="1">
        <f t="array" ref="F146">VALUE(INDEX(_xlfn.TEXTSPLIT(Table1[[#This Row],[player_id]], "_"), 2)) / Table1[[#This Row],[season]]</f>
        <v>1</v>
      </c>
      <c r="G146" s="1">
        <v>1</v>
      </c>
      <c r="H146" s="1">
        <v>23</v>
      </c>
      <c r="I146">
        <v>74</v>
      </c>
      <c r="J146">
        <v>219</v>
      </c>
      <c r="K146" s="1" t="s">
        <v>49</v>
      </c>
      <c r="L146">
        <v>38</v>
      </c>
      <c r="M146">
        <v>11281</v>
      </c>
      <c r="N146">
        <v>87</v>
      </c>
      <c r="O146">
        <v>186.6</v>
      </c>
      <c r="P146">
        <v>22</v>
      </c>
      <c r="Q146">
        <v>0</v>
      </c>
    </row>
    <row r="147" spans="1:17" x14ac:dyDescent="0.35">
      <c r="A147" t="str">
        <f>LOWER(Table1[[#This Row],[position]]) &amp; "_" &amp; TEXT(DATE(Table1[[#This Row],[season]], 1, 1), "yyyy") &amp; "_" &amp; LOWER(_xlfn.TEXTAFTER(Table1[[#This Row],[player_name]], " ", -1))</f>
        <v>wr_2025_hunter</v>
      </c>
      <c r="B147" s="1" t="s">
        <v>201</v>
      </c>
      <c r="C147">
        <v>2025</v>
      </c>
      <c r="D147" s="1" t="s">
        <v>28</v>
      </c>
      <c r="E147" t="s">
        <v>84</v>
      </c>
      <c r="F147" cm="1">
        <f t="array" ref="F147">VALUE(INDEX(_xlfn.TEXTSPLIT(Table1[[#This Row],[player_id]], "_"), 2)) / Table1[[#This Row],[season]]</f>
        <v>1</v>
      </c>
      <c r="G147" s="1">
        <v>2</v>
      </c>
      <c r="H147" s="1">
        <v>22</v>
      </c>
      <c r="I147">
        <v>73</v>
      </c>
      <c r="J147">
        <v>185</v>
      </c>
      <c r="K147" s="1" t="s">
        <v>210</v>
      </c>
      <c r="L147">
        <v>22</v>
      </c>
      <c r="M147">
        <v>1979</v>
      </c>
      <c r="N147">
        <v>20</v>
      </c>
      <c r="O147">
        <v>63.8</v>
      </c>
      <c r="P147">
        <v>97</v>
      </c>
      <c r="Q147">
        <v>0</v>
      </c>
    </row>
    <row r="148" spans="1:17" x14ac:dyDescent="0.35">
      <c r="A148" t="str">
        <f>LOWER(Table1[[#This Row],[position]]) &amp; "_" &amp; TEXT(DATE(Table1[[#This Row],[season]], 1, 1), "yyyy") &amp; "_" &amp; LOWER(_xlfn.TEXTAFTER(Table1[[#This Row],[player_name]], " ", -1))</f>
        <v>rb_2025_jeanty</v>
      </c>
      <c r="B148" s="1" t="s">
        <v>202</v>
      </c>
      <c r="C148">
        <v>2025</v>
      </c>
      <c r="D148" s="1" t="s">
        <v>29</v>
      </c>
      <c r="E148" t="s">
        <v>32</v>
      </c>
      <c r="F148" cm="1">
        <f t="array" ref="F148">VALUE(INDEX(_xlfn.TEXTSPLIT(Table1[[#This Row],[player_id]], "_"), 2)) / Table1[[#This Row],[season]]</f>
        <v>1</v>
      </c>
      <c r="G148" s="1">
        <v>6</v>
      </c>
      <c r="H148" s="1">
        <v>21</v>
      </c>
      <c r="I148">
        <v>68</v>
      </c>
      <c r="J148">
        <v>208</v>
      </c>
      <c r="K148" s="1" t="s">
        <v>211</v>
      </c>
      <c r="L148">
        <v>40</v>
      </c>
      <c r="M148">
        <v>4769</v>
      </c>
      <c r="N148">
        <v>50</v>
      </c>
      <c r="O148">
        <v>245.1</v>
      </c>
      <c r="P148">
        <v>11</v>
      </c>
      <c r="Q148">
        <v>1</v>
      </c>
    </row>
    <row r="149" spans="1:17" x14ac:dyDescent="0.35">
      <c r="A149" t="str">
        <f>LOWER(Table1[[#This Row],[position]]) &amp; "_" &amp; TEXT(DATE(Table1[[#This Row],[season]], 1, 1), "yyyy") &amp; "_" &amp; LOWER(_xlfn.TEXTAFTER(Table1[[#This Row],[player_name]], " ", -1))</f>
        <v>wr_2025_mcmillan</v>
      </c>
      <c r="B149" s="1" t="s">
        <v>203</v>
      </c>
      <c r="C149">
        <v>2025</v>
      </c>
      <c r="D149" s="1" t="s">
        <v>28</v>
      </c>
      <c r="E149" t="s">
        <v>85</v>
      </c>
      <c r="F149" cm="1">
        <f t="array" ref="F149">VALUE(INDEX(_xlfn.TEXTSPLIT(Table1[[#This Row],[player_id]], "_"), 2)) / Table1[[#This Row],[season]]</f>
        <v>1</v>
      </c>
      <c r="G149" s="1">
        <v>8</v>
      </c>
      <c r="H149" s="1">
        <v>22</v>
      </c>
      <c r="I149">
        <v>77</v>
      </c>
      <c r="J149">
        <v>212</v>
      </c>
      <c r="K149" s="1" t="s">
        <v>212</v>
      </c>
      <c r="L149">
        <v>37</v>
      </c>
      <c r="M149">
        <v>3423</v>
      </c>
      <c r="N149">
        <v>26</v>
      </c>
      <c r="O149">
        <v>211.4</v>
      </c>
      <c r="P149">
        <v>16</v>
      </c>
      <c r="Q149">
        <v>1</v>
      </c>
    </row>
    <row r="150" spans="1:17" x14ac:dyDescent="0.35">
      <c r="A150" t="str">
        <f>LOWER(Table1[[#This Row],[position]]) &amp; "_" &amp; TEXT(DATE(Table1[[#This Row],[season]], 1, 1), "yyyy") &amp; "_" &amp; LOWER(_xlfn.TEXTAFTER(Table1[[#This Row],[player_name]], " ", -1))</f>
        <v>te_2025_loveland</v>
      </c>
      <c r="B150" s="1" t="s">
        <v>204</v>
      </c>
      <c r="C150">
        <v>2025</v>
      </c>
      <c r="D150" s="1" t="s">
        <v>83</v>
      </c>
      <c r="E150" t="s">
        <v>33</v>
      </c>
      <c r="F150" cm="1">
        <f t="array" ref="F150">VALUE(INDEX(_xlfn.TEXTSPLIT(Table1[[#This Row],[player_id]], "_"), 2)) / Table1[[#This Row],[season]]</f>
        <v>1</v>
      </c>
      <c r="G150" s="1">
        <v>10</v>
      </c>
      <c r="H150" s="1">
        <v>21</v>
      </c>
      <c r="I150">
        <v>78</v>
      </c>
      <c r="J150">
        <v>241</v>
      </c>
      <c r="K150" s="1" t="s">
        <v>199</v>
      </c>
      <c r="L150">
        <v>39</v>
      </c>
      <c r="M150">
        <v>1466</v>
      </c>
      <c r="N150">
        <v>11</v>
      </c>
      <c r="O150">
        <v>165.1</v>
      </c>
      <c r="P150">
        <v>12</v>
      </c>
      <c r="Q150">
        <v>1</v>
      </c>
    </row>
    <row r="151" spans="1:17" x14ac:dyDescent="0.35">
      <c r="A151" t="str">
        <f>LOWER(Table1[[#This Row],[position]]) &amp; "_" &amp; TEXT(DATE(Table1[[#This Row],[season]], 1, 1), "yyyy") &amp; "_" &amp; LOWER(_xlfn.TEXTAFTER(Table1[[#This Row],[player_name]], " ", -1))</f>
        <v>te_2025_warren</v>
      </c>
      <c r="B151" s="1" t="s">
        <v>205</v>
      </c>
      <c r="C151">
        <v>2025</v>
      </c>
      <c r="D151" s="1" t="s">
        <v>83</v>
      </c>
      <c r="E151" t="s">
        <v>39</v>
      </c>
      <c r="F151" cm="1">
        <f t="array" ref="F151">VALUE(INDEX(_xlfn.TEXTSPLIT(Table1[[#This Row],[player_id]], "_"), 2)) / Table1[[#This Row],[season]]</f>
        <v>1</v>
      </c>
      <c r="G151" s="1">
        <v>14</v>
      </c>
      <c r="H151" s="1">
        <v>23</v>
      </c>
      <c r="I151">
        <v>78</v>
      </c>
      <c r="J151">
        <v>256</v>
      </c>
      <c r="K151" s="1" t="s">
        <v>114</v>
      </c>
      <c r="L151">
        <v>56</v>
      </c>
      <c r="M151">
        <v>1839</v>
      </c>
      <c r="N151">
        <v>19</v>
      </c>
      <c r="O151">
        <v>188.5</v>
      </c>
      <c r="P151">
        <v>4</v>
      </c>
      <c r="Q151">
        <v>1</v>
      </c>
    </row>
    <row r="152" spans="1:17" x14ac:dyDescent="0.35">
      <c r="A152" t="str">
        <f>LOWER(Table1[[#This Row],[position]]) &amp; "_" &amp; TEXT(DATE(Table1[[#This Row],[season]], 1, 1), "yyyy") &amp; "_" &amp; LOWER(_xlfn.TEXTAFTER(Table1[[#This Row],[player_name]], " ", -1))</f>
        <v>wr_2025_egbuka</v>
      </c>
      <c r="B152" s="1" t="s">
        <v>206</v>
      </c>
      <c r="C152">
        <v>2025</v>
      </c>
      <c r="D152" s="1" t="s">
        <v>28</v>
      </c>
      <c r="E152" t="s">
        <v>30</v>
      </c>
      <c r="F152" cm="1">
        <f t="array" ref="F152">VALUE(INDEX(_xlfn.TEXTSPLIT(Table1[[#This Row],[player_id]], "_"), 2)) / Table1[[#This Row],[season]]</f>
        <v>1</v>
      </c>
      <c r="G152" s="1">
        <v>19</v>
      </c>
      <c r="H152" s="1">
        <v>22</v>
      </c>
      <c r="I152">
        <v>73</v>
      </c>
      <c r="J152">
        <v>205</v>
      </c>
      <c r="K152" s="1" t="s">
        <v>66</v>
      </c>
      <c r="L152">
        <v>49</v>
      </c>
      <c r="M152">
        <v>2868</v>
      </c>
      <c r="N152">
        <v>24</v>
      </c>
      <c r="O152">
        <v>195.7</v>
      </c>
      <c r="P152">
        <v>23</v>
      </c>
      <c r="Q152">
        <v>1</v>
      </c>
    </row>
    <row r="153" spans="1:17" x14ac:dyDescent="0.35">
      <c r="A153" t="str">
        <f>LOWER(Table1[[#This Row],[position]]) &amp; "_" &amp; TEXT(DATE(Table1[[#This Row],[season]], 1, 1), "yyyy") &amp; "_" &amp; LOWER(_xlfn.TEXTAFTER(Table1[[#This Row],[player_name]], " ", -1))</f>
        <v>rb_2025_hampton</v>
      </c>
      <c r="B153" s="1" t="s">
        <v>207</v>
      </c>
      <c r="C153">
        <v>2025</v>
      </c>
      <c r="D153" s="1" t="s">
        <v>29</v>
      </c>
      <c r="E153" t="s">
        <v>36</v>
      </c>
      <c r="F153" cm="1">
        <f t="array" ref="F153">VALUE(INDEX(_xlfn.TEXTSPLIT(Table1[[#This Row],[player_id]], "_"), 2)) / Table1[[#This Row],[season]]</f>
        <v>1</v>
      </c>
      <c r="G153" s="1">
        <v>22</v>
      </c>
      <c r="H153" s="1">
        <v>22</v>
      </c>
      <c r="I153">
        <v>72</v>
      </c>
      <c r="J153">
        <v>220</v>
      </c>
      <c r="K153" s="1" t="s">
        <v>89</v>
      </c>
      <c r="L153">
        <v>38</v>
      </c>
      <c r="M153">
        <v>3565</v>
      </c>
      <c r="N153">
        <v>36</v>
      </c>
      <c r="O153">
        <v>135.69999999999999</v>
      </c>
      <c r="P153">
        <v>35</v>
      </c>
      <c r="Q153">
        <v>0</v>
      </c>
    </row>
    <row r="154" spans="1:17" x14ac:dyDescent="0.35">
      <c r="A154" t="str">
        <f>LOWER(Table1[[#This Row],[position]]) &amp; "_" &amp; TEXT(DATE(Table1[[#This Row],[season]], 1, 1), "yyyy") &amp; "_" &amp; LOWER(_xlfn.TEXTAFTER(Table1[[#This Row],[player_name]], " ", -1))</f>
        <v>wr_2025_golden</v>
      </c>
      <c r="B154" s="1" t="s">
        <v>208</v>
      </c>
      <c r="C154">
        <v>2025</v>
      </c>
      <c r="D154" s="1" t="s">
        <v>28</v>
      </c>
      <c r="E154" t="s">
        <v>145</v>
      </c>
      <c r="F154" cm="1">
        <f t="array" ref="F154">VALUE(INDEX(_xlfn.TEXTSPLIT(Table1[[#This Row],[player_id]], "_"), 2)) / Table1[[#This Row],[season]]</f>
        <v>1</v>
      </c>
      <c r="G154" s="1">
        <v>23</v>
      </c>
      <c r="H154" s="1">
        <v>22</v>
      </c>
      <c r="I154">
        <v>71</v>
      </c>
      <c r="J154">
        <v>191</v>
      </c>
      <c r="K154" s="1" t="s">
        <v>183</v>
      </c>
      <c r="L154">
        <v>36</v>
      </c>
      <c r="M154">
        <v>1975</v>
      </c>
      <c r="N154">
        <v>22</v>
      </c>
      <c r="O154">
        <v>70</v>
      </c>
      <c r="P154">
        <v>89</v>
      </c>
      <c r="Q154">
        <v>0</v>
      </c>
    </row>
    <row r="155" spans="1:17" x14ac:dyDescent="0.35">
      <c r="A155" t="str">
        <f>LOWER(Table1[[#This Row],[position]]) &amp; "_" &amp; TEXT(DATE(Table1[[#This Row],[season]], 1, 1), "yyyy") &amp; "_" &amp; LOWER(_xlfn.TEXTAFTER(Table1[[#This Row],[player_name]], " ", -1))</f>
        <v>qb_2025_dart</v>
      </c>
      <c r="B155" s="1" t="s">
        <v>209</v>
      </c>
      <c r="C155">
        <v>2025</v>
      </c>
      <c r="D155" s="1" t="s">
        <v>27</v>
      </c>
      <c r="E155" t="s">
        <v>88</v>
      </c>
      <c r="F155" cm="1">
        <f t="array" ref="F155">VALUE(INDEX(_xlfn.TEXTSPLIT(Table1[[#This Row],[player_id]], "_"), 2)) / Table1[[#This Row],[season]]</f>
        <v>1</v>
      </c>
      <c r="G155" s="1">
        <v>25</v>
      </c>
      <c r="H155" s="1">
        <v>22</v>
      </c>
      <c r="I155">
        <v>74</v>
      </c>
      <c r="J155">
        <v>223</v>
      </c>
      <c r="K155" s="1" t="s">
        <v>70</v>
      </c>
      <c r="L155">
        <v>45</v>
      </c>
      <c r="M155">
        <v>11970</v>
      </c>
      <c r="N155">
        <v>81</v>
      </c>
      <c r="O155">
        <v>241.6</v>
      </c>
      <c r="P155">
        <v>13</v>
      </c>
      <c r="Q155">
        <v>0</v>
      </c>
    </row>
    <row r="156" spans="1:17" x14ac:dyDescent="0.35">
      <c r="A156" t="str">
        <f>LOWER(Table1[[#This Row],[position]]) &amp; "_" &amp; TEXT(DATE(Table1[[#This Row],[season]], 1, 1), "yyyy") &amp; "_" &amp; LOWER(_xlfn.TEXTAFTER(Table1[[#This Row],[player_name]], " ", -1))</f>
        <v>qb_2026_mendoza</v>
      </c>
      <c r="B156" s="1" t="s">
        <v>214</v>
      </c>
      <c r="C156">
        <v>2026</v>
      </c>
      <c r="D156" s="1" t="s">
        <v>27</v>
      </c>
      <c r="E156" t="s">
        <v>32</v>
      </c>
      <c r="F156" cm="1">
        <f t="array" ref="F156">VALUE(INDEX(_xlfn.TEXTSPLIT(Table1[[#This Row],[player_id]], "_"), 2)) / Table1[[#This Row],[season]]</f>
        <v>1</v>
      </c>
      <c r="G156" s="1">
        <v>1</v>
      </c>
      <c r="H156" s="1">
        <v>22</v>
      </c>
      <c r="I156">
        <v>77</v>
      </c>
      <c r="J156">
        <v>225</v>
      </c>
      <c r="K156" s="1" t="s">
        <v>223</v>
      </c>
      <c r="L156">
        <v>36</v>
      </c>
      <c r="M156">
        <v>8247</v>
      </c>
      <c r="N156">
        <v>71</v>
      </c>
    </row>
    <row r="157" spans="1:17" x14ac:dyDescent="0.35">
      <c r="A157" t="str">
        <f>LOWER(Table1[[#This Row],[position]]) &amp; "_" &amp; TEXT(DATE(Table1[[#This Row],[season]], 1, 1), "yyyy") &amp; "_" &amp; LOWER(_xlfn.TEXTAFTER(Table1[[#This Row],[player_name]], " ", -1))</f>
        <v>rb_2026_love</v>
      </c>
      <c r="B157" s="1" t="s">
        <v>215</v>
      </c>
      <c r="C157">
        <v>2026</v>
      </c>
      <c r="D157" s="1" t="s">
        <v>29</v>
      </c>
      <c r="E157" t="s">
        <v>109</v>
      </c>
      <c r="F157" cm="1">
        <f t="array" ref="F157">VALUE(INDEX(_xlfn.TEXTSPLIT(Table1[[#This Row],[player_id]], "_"), 2)) / Table1[[#This Row],[season]]</f>
        <v>1</v>
      </c>
      <c r="G157" s="1">
        <v>3</v>
      </c>
      <c r="H157" s="1">
        <v>21</v>
      </c>
      <c r="I157">
        <v>72</v>
      </c>
      <c r="J157">
        <v>214</v>
      </c>
      <c r="K157" s="1" t="s">
        <v>68</v>
      </c>
      <c r="L157">
        <v>41</v>
      </c>
      <c r="M157">
        <v>2882</v>
      </c>
      <c r="N157">
        <v>36</v>
      </c>
    </row>
    <row r="158" spans="1:17" x14ac:dyDescent="0.35">
      <c r="A158" t="str">
        <f>LOWER(Table1[[#This Row],[position]]) &amp; "_" &amp; TEXT(DATE(Table1[[#This Row],[season]], 1, 1), "yyyy") &amp; "_" &amp; LOWER(_xlfn.TEXTAFTER(Table1[[#This Row],[player_name]], " ", -1))</f>
        <v>wr_2026_tate</v>
      </c>
      <c r="B158" s="1" t="s">
        <v>216</v>
      </c>
      <c r="C158">
        <v>2026</v>
      </c>
      <c r="D158" s="1" t="s">
        <v>28</v>
      </c>
      <c r="E158" t="s">
        <v>31</v>
      </c>
      <c r="F158" cm="1">
        <f t="array" ref="F158">VALUE(INDEX(_xlfn.TEXTSPLIT(Table1[[#This Row],[player_id]], "_"), 2)) / Table1[[#This Row],[season]]</f>
        <v>1</v>
      </c>
      <c r="G158" s="1">
        <v>4</v>
      </c>
      <c r="H158" s="1">
        <v>21</v>
      </c>
      <c r="I158">
        <v>75</v>
      </c>
      <c r="J158">
        <v>195</v>
      </c>
      <c r="K158" s="1" t="s">
        <v>66</v>
      </c>
      <c r="L158">
        <v>39</v>
      </c>
      <c r="M158">
        <v>1872</v>
      </c>
      <c r="N158">
        <v>14</v>
      </c>
    </row>
    <row r="159" spans="1:17" x14ac:dyDescent="0.35">
      <c r="A159" t="str">
        <f>LOWER(Table1[[#This Row],[position]]) &amp; "_" &amp; TEXT(DATE(Table1[[#This Row],[season]], 1, 1), "yyyy") &amp; "_" &amp; LOWER(_xlfn.TEXTAFTER(Table1[[#This Row],[player_name]], " ", -1))</f>
        <v>wr_2026_tyson</v>
      </c>
      <c r="B159" s="1" t="s">
        <v>217</v>
      </c>
      <c r="C159">
        <v>2026</v>
      </c>
      <c r="D159" s="1" t="s">
        <v>28</v>
      </c>
      <c r="E159" t="s">
        <v>172</v>
      </c>
      <c r="F159" cm="1">
        <f t="array" ref="F159">VALUE(INDEX(_xlfn.TEXTSPLIT(Table1[[#This Row],[player_id]], "_"), 2)) / Table1[[#This Row],[season]]</f>
        <v>1</v>
      </c>
      <c r="G159" s="1">
        <v>8</v>
      </c>
      <c r="H159" s="1">
        <v>22</v>
      </c>
      <c r="I159">
        <v>74</v>
      </c>
      <c r="J159">
        <v>200</v>
      </c>
      <c r="K159" s="1" t="s">
        <v>131</v>
      </c>
      <c r="L159">
        <v>33</v>
      </c>
      <c r="M159">
        <v>2282</v>
      </c>
      <c r="N159">
        <v>22</v>
      </c>
    </row>
    <row r="160" spans="1:17" x14ac:dyDescent="0.35">
      <c r="A160" t="str">
        <f>LOWER(Table1[[#This Row],[position]]) &amp; "_" &amp; TEXT(DATE(Table1[[#This Row],[season]], 1, 1), "yyyy") &amp; "_" &amp; LOWER(_xlfn.TEXTAFTER(Table1[[#This Row],[player_name]], " ", -1))</f>
        <v>qb_2026_simpson</v>
      </c>
      <c r="B160" s="1" t="s">
        <v>218</v>
      </c>
      <c r="C160">
        <v>2026</v>
      </c>
      <c r="D160" s="1" t="s">
        <v>27</v>
      </c>
      <c r="E160" t="s">
        <v>34</v>
      </c>
      <c r="F160" cm="1">
        <f t="array" ref="F160">VALUE(INDEX(_xlfn.TEXTSPLIT(Table1[[#This Row],[player_id]], "_"), 2)) / Table1[[#This Row],[season]]</f>
        <v>1</v>
      </c>
      <c r="G160" s="1">
        <v>13</v>
      </c>
      <c r="H160" s="1">
        <v>23</v>
      </c>
      <c r="I160">
        <v>74</v>
      </c>
      <c r="J160">
        <v>208</v>
      </c>
      <c r="K160" s="1" t="s">
        <v>42</v>
      </c>
      <c r="L160">
        <v>31</v>
      </c>
      <c r="M160">
        <v>3948</v>
      </c>
      <c r="N160">
        <v>28</v>
      </c>
    </row>
    <row r="161" spans="1:14" x14ac:dyDescent="0.35">
      <c r="A161" t="str">
        <f>LOWER(Table1[[#This Row],[position]]) &amp; "_" &amp; TEXT(DATE(Table1[[#This Row],[season]], 1, 1), "yyyy") &amp; "_" &amp; LOWER(_xlfn.TEXTAFTER(Table1[[#This Row],[player_name]], " ", -1))</f>
        <v>te_2026_sadiq</v>
      </c>
      <c r="B161" s="1" t="s">
        <v>219</v>
      </c>
      <c r="C161">
        <v>2026</v>
      </c>
      <c r="D161" s="1" t="s">
        <v>83</v>
      </c>
      <c r="E161" t="s">
        <v>107</v>
      </c>
      <c r="F161" cm="1">
        <f t="array" ref="F161">VALUE(INDEX(_xlfn.TEXTSPLIT(Table1[[#This Row],[player_id]], "_"), 2)) / Table1[[#This Row],[season]]</f>
        <v>1</v>
      </c>
      <c r="G161" s="1">
        <v>16</v>
      </c>
      <c r="H161" s="1">
        <v>21</v>
      </c>
      <c r="I161">
        <v>75</v>
      </c>
      <c r="J161">
        <v>245</v>
      </c>
      <c r="K161" s="1" t="s">
        <v>41</v>
      </c>
      <c r="L161">
        <v>42</v>
      </c>
      <c r="M161">
        <v>892</v>
      </c>
      <c r="N161">
        <v>11</v>
      </c>
    </row>
    <row r="162" spans="1:14" x14ac:dyDescent="0.35">
      <c r="A162" t="str">
        <f>LOWER(Table1[[#This Row],[position]]) &amp; "_" &amp; TEXT(DATE(Table1[[#This Row],[season]], 1, 1), "yyyy") &amp; "_" &amp; LOWER(_xlfn.TEXTAFTER(Table1[[#This Row],[player_name]], " ", -1))</f>
        <v>wr_2026_lemon</v>
      </c>
      <c r="B162" s="1" t="s">
        <v>220</v>
      </c>
      <c r="C162">
        <v>2026</v>
      </c>
      <c r="D162" s="1" t="s">
        <v>28</v>
      </c>
      <c r="E162" t="s">
        <v>37</v>
      </c>
      <c r="F162" cm="1">
        <f t="array" ref="F162">VALUE(INDEX(_xlfn.TEXTSPLIT(Table1[[#This Row],[player_id]], "_"), 2)) / Table1[[#This Row],[season]]</f>
        <v>1</v>
      </c>
      <c r="G162" s="1">
        <v>20</v>
      </c>
      <c r="H162" s="1">
        <v>22</v>
      </c>
      <c r="I162">
        <v>71</v>
      </c>
      <c r="J162">
        <v>195</v>
      </c>
      <c r="K162" s="1" t="s">
        <v>47</v>
      </c>
      <c r="L162">
        <v>33</v>
      </c>
      <c r="M162">
        <v>2008</v>
      </c>
      <c r="N162">
        <v>14</v>
      </c>
    </row>
    <row r="163" spans="1:14" x14ac:dyDescent="0.35">
      <c r="A163" t="str">
        <f>LOWER(Table1[[#This Row],[position]]) &amp; "_" &amp; TEXT(DATE(Table1[[#This Row],[season]], 1, 1), "yyyy") &amp; "_" &amp; LOWER(_xlfn.TEXTAFTER(Table1[[#This Row],[player_name]], " ", -1))</f>
        <v>wr_2026_concepcion</v>
      </c>
      <c r="B163" s="1" t="s">
        <v>221</v>
      </c>
      <c r="C163">
        <v>2026</v>
      </c>
      <c r="D163" s="1" t="s">
        <v>28</v>
      </c>
      <c r="E163" t="s">
        <v>59</v>
      </c>
      <c r="F163" cm="1">
        <f t="array" ref="F163">VALUE(INDEX(_xlfn.TEXTSPLIT(Table1[[#This Row],[player_id]], "_"), 2)) / Table1[[#This Row],[season]]</f>
        <v>1</v>
      </c>
      <c r="G163" s="1">
        <v>24</v>
      </c>
      <c r="H163" s="1">
        <v>21</v>
      </c>
      <c r="I163">
        <v>71</v>
      </c>
      <c r="J163">
        <v>190</v>
      </c>
      <c r="K163" s="1" t="s">
        <v>224</v>
      </c>
      <c r="L163">
        <v>38</v>
      </c>
      <c r="M163">
        <v>2218</v>
      </c>
      <c r="N163">
        <v>25</v>
      </c>
    </row>
    <row r="164" spans="1:14" x14ac:dyDescent="0.35">
      <c r="A164" t="str">
        <f>LOWER(Table1[[#This Row],[position]]) &amp; "_" &amp; TEXT(DATE(Table1[[#This Row],[season]], 1, 1), "yyyy") &amp; "_" &amp; LOWER(_xlfn.TEXTAFTER(Table1[[#This Row],[player_name]], " ", -1))</f>
        <v>wr_2026_cooper-jr.</v>
      </c>
      <c r="B164" s="1" t="s">
        <v>275</v>
      </c>
      <c r="C164">
        <v>2026</v>
      </c>
      <c r="D164" s="1" t="s">
        <v>28</v>
      </c>
      <c r="E164" t="s">
        <v>107</v>
      </c>
      <c r="F164" cm="1">
        <f t="array" ref="F164">VALUE(INDEX(_xlfn.TEXTSPLIT(Table1[[#This Row],[player_id]], "_"), 2)) / Table1[[#This Row],[season]]</f>
        <v>1</v>
      </c>
      <c r="G164" s="1">
        <v>30</v>
      </c>
      <c r="H164" s="1">
        <v>22</v>
      </c>
      <c r="I164">
        <v>72</v>
      </c>
      <c r="J164">
        <v>204</v>
      </c>
      <c r="K164" s="1" t="s">
        <v>223</v>
      </c>
      <c r="L164">
        <v>42</v>
      </c>
      <c r="M164">
        <v>1798</v>
      </c>
      <c r="N164">
        <v>22</v>
      </c>
    </row>
    <row r="165" spans="1:14" x14ac:dyDescent="0.35">
      <c r="A165" t="str">
        <f>LOWER(Table1[[#This Row],[position]]) &amp; "_" &amp; TEXT(DATE(Table1[[#This Row],[season]], 1, 1), "yyyy") &amp; "_" &amp; LOWER(_xlfn.TEXTAFTER(Table1[[#This Row],[player_name]], " ", -1))</f>
        <v>rb_2026_price</v>
      </c>
      <c r="B165" s="1" t="s">
        <v>222</v>
      </c>
      <c r="C165">
        <v>2026</v>
      </c>
      <c r="D165" s="1" t="s">
        <v>29</v>
      </c>
      <c r="E165" t="s">
        <v>111</v>
      </c>
      <c r="F165" cm="1">
        <f t="array" ref="F165">VALUE(INDEX(_xlfn.TEXTSPLIT(Table1[[#This Row],[player_id]], "_"), 2)) / Table1[[#This Row],[season]]</f>
        <v>1</v>
      </c>
      <c r="G165" s="1">
        <v>32</v>
      </c>
      <c r="H165" s="1">
        <v>22</v>
      </c>
      <c r="I165">
        <v>71</v>
      </c>
      <c r="J165">
        <v>210</v>
      </c>
      <c r="K165" s="1" t="s">
        <v>68</v>
      </c>
      <c r="L165">
        <v>41</v>
      </c>
      <c r="M165">
        <v>1692</v>
      </c>
      <c r="N165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draft_and_player_data</vt:lpstr>
      <vt:lpstr>fantasy_targets</vt:lpstr>
      <vt:lpstr>master_dataset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Hogan</dc:creator>
  <cp:lastModifiedBy>Phillip Hogan</cp:lastModifiedBy>
  <dcterms:created xsi:type="dcterms:W3CDTF">2026-05-05T01:46:38Z</dcterms:created>
  <dcterms:modified xsi:type="dcterms:W3CDTF">2026-05-05T21:38:16Z</dcterms:modified>
</cp:coreProperties>
</file>